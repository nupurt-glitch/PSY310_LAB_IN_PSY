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82382b8f558c/Desktop/LAB IN PSY/PSY lab tutorial 5- Word Priming Task/data/"/>
    </mc:Choice>
  </mc:AlternateContent>
  <xr:revisionPtr revIDLastSave="0" documentId="8_{CC86F477-26B8-4D74-932B-D573607E3DBA}" xr6:coauthVersionLast="47" xr6:coauthVersionMax="47" xr10:uidLastSave="{00000000-0000-0000-0000-000000000000}"/>
  <bookViews>
    <workbookView xWindow="-110" yWindow="-110" windowWidth="19420" windowHeight="11500" activeTab="4" xr2:uid="{FD542752-91E6-4A8F-ABCD-8D41537F3D3F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G17" i="5"/>
  <c r="G19" i="4"/>
  <c r="G20" i="3"/>
  <c r="G20" i="2"/>
  <c r="G15" i="5"/>
  <c r="G14" i="5"/>
  <c r="G17" i="4"/>
  <c r="G16" i="4"/>
  <c r="G18" i="3"/>
  <c r="G17" i="3"/>
  <c r="G17" i="2"/>
  <c r="G18" i="2"/>
  <c r="L18" i="1"/>
  <c r="L17" i="1"/>
</calcChain>
</file>

<file path=xl/sharedStrings.xml><?xml version="1.0" encoding="utf-8"?>
<sst xmlns="http://schemas.openxmlformats.org/spreadsheetml/2006/main" count="441" uniqueCount="73">
  <si>
    <t>study_word</t>
  </si>
  <si>
    <t>thisN</t>
  </si>
  <si>
    <t>thisTrialN</t>
  </si>
  <si>
    <t>thisRepN</t>
  </si>
  <si>
    <t>Studyslider.response</t>
  </si>
  <si>
    <t>Studyslider.rt</t>
  </si>
  <si>
    <t>test_words</t>
  </si>
  <si>
    <t>reference</t>
  </si>
  <si>
    <t>old_new</t>
  </si>
  <si>
    <t>test_textbox.text</t>
  </si>
  <si>
    <t>case</t>
  </si>
  <si>
    <t>board</t>
  </si>
  <si>
    <t>keys</t>
  </si>
  <si>
    <t>laptop</t>
  </si>
  <si>
    <t>cruise</t>
  </si>
  <si>
    <t>marble</t>
  </si>
  <si>
    <t>police</t>
  </si>
  <si>
    <t>book</t>
  </si>
  <si>
    <t>chart</t>
  </si>
  <si>
    <t>phone</t>
  </si>
  <si>
    <t>mouse</t>
  </si>
  <si>
    <t>poster</t>
  </si>
  <si>
    <t>_ou_e</t>
  </si>
  <si>
    <t xml:space="preserve">old </t>
  </si>
  <si>
    <t>P_li_e</t>
  </si>
  <si>
    <t>t_hi_t</t>
  </si>
  <si>
    <t>tshirt</t>
  </si>
  <si>
    <t>c_m_ra</t>
  </si>
  <si>
    <t>camera</t>
  </si>
  <si>
    <t>new</t>
  </si>
  <si>
    <t>_ho_e</t>
  </si>
  <si>
    <t>_a_bl_</t>
  </si>
  <si>
    <t>_oo_</t>
  </si>
  <si>
    <t>pool</t>
  </si>
  <si>
    <t>ta_l_</t>
  </si>
  <si>
    <t>table</t>
  </si>
  <si>
    <t>c_s_io_</t>
  </si>
  <si>
    <t>cushion</t>
  </si>
  <si>
    <t>bo_t_e</t>
  </si>
  <si>
    <t>bottle</t>
  </si>
  <si>
    <t>_ha_t</t>
  </si>
  <si>
    <t>p_s_ry</t>
  </si>
  <si>
    <t>pastry</t>
  </si>
  <si>
    <t>k_y_</t>
  </si>
  <si>
    <t>p_nc_l</t>
  </si>
  <si>
    <t>pencil</t>
  </si>
  <si>
    <t>v_s_</t>
  </si>
  <si>
    <t>vase</t>
  </si>
  <si>
    <t>_o_rd</t>
  </si>
  <si>
    <t>l_pt_p</t>
  </si>
  <si>
    <t>p_st_r</t>
  </si>
  <si>
    <t>_ru_se</t>
  </si>
  <si>
    <t>c_s_</t>
  </si>
  <si>
    <t>tails</t>
  </si>
  <si>
    <t>food</t>
  </si>
  <si>
    <t xml:space="preserve">pencil
</t>
  </si>
  <si>
    <t>kiyl</t>
  </si>
  <si>
    <t>root</t>
  </si>
  <si>
    <t>tho</t>
  </si>
  <si>
    <t>sowrd</t>
  </si>
  <si>
    <t>t</t>
  </si>
  <si>
    <t>chaat</t>
  </si>
  <si>
    <t>vast</t>
  </si>
  <si>
    <t>visa</t>
  </si>
  <si>
    <t>paster</t>
  </si>
  <si>
    <t>casion</t>
  </si>
  <si>
    <t xml:space="preserve">whater
</t>
  </si>
  <si>
    <t>moon</t>
  </si>
  <si>
    <t>tales</t>
  </si>
  <si>
    <t>proportional hits from primed list</t>
  </si>
  <si>
    <t>proportional hits from non-primed list</t>
  </si>
  <si>
    <t>no of total hit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</si>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</sst>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4" borderId="0" xfId="0" applyNumberFormat="1" applyFill="1"/>
    <xf numFmtId="165" fontId="0" fillId="4" borderId="0" xfId="0" applyNumberFormat="1" applyFill="1"/>
    <xf numFmtId="164" fontId="0" fillId="5" borderId="0" xfId="0" applyNumberForma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C6F6-9546-4A45-BA2C-67FC2A84BFA9}">
  <dimension ref="A1:L21"/>
  <sheetViews>
    <sheetView topLeftCell="F1" workbookViewId="0">
      <selection activeCell="L20" sqref="L20"/>
    </sheetView>
  </sheetViews>
  <sheetFormatPr defaultRowHeight="14.5" x14ac:dyDescent="0.35"/>
  <cols>
    <col min="4" max="4" width="11.7265625" customWidth="1"/>
    <col min="5" max="5" width="19.08984375" customWidth="1"/>
    <col min="6" max="6" width="16.26953125" customWidth="1"/>
    <col min="7" max="7" width="21.453125" customWidth="1"/>
    <col min="8" max="8" width="11.81640625" customWidth="1"/>
    <col min="9" max="9" width="16.1796875" customWidth="1"/>
    <col min="10" max="10" width="20.36328125" customWidth="1"/>
    <col min="11" max="11" width="33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5">
      <c r="B2">
        <v>0</v>
      </c>
      <c r="C2">
        <v>0</v>
      </c>
      <c r="D2">
        <v>0</v>
      </c>
      <c r="G2" t="s">
        <v>22</v>
      </c>
      <c r="H2" t="s">
        <v>20</v>
      </c>
      <c r="I2" t="s">
        <v>23</v>
      </c>
      <c r="J2" s="2" t="s">
        <v>20</v>
      </c>
    </row>
    <row r="3" spans="1:12" x14ac:dyDescent="0.35">
      <c r="B3">
        <v>1</v>
      </c>
      <c r="C3">
        <v>1</v>
      </c>
      <c r="D3">
        <v>0</v>
      </c>
      <c r="G3" t="s">
        <v>24</v>
      </c>
      <c r="H3" t="s">
        <v>16</v>
      </c>
      <c r="I3" t="s">
        <v>23</v>
      </c>
      <c r="J3" s="2" t="s">
        <v>16</v>
      </c>
    </row>
    <row r="4" spans="1:12" x14ac:dyDescent="0.35">
      <c r="B4">
        <v>2</v>
      </c>
      <c r="C4">
        <v>2</v>
      </c>
      <c r="D4">
        <v>0</v>
      </c>
      <c r="G4" t="s">
        <v>25</v>
      </c>
      <c r="H4" t="s">
        <v>26</v>
      </c>
      <c r="I4" t="s">
        <v>23</v>
      </c>
    </row>
    <row r="5" spans="1:12" x14ac:dyDescent="0.35">
      <c r="B5">
        <v>3</v>
      </c>
      <c r="C5">
        <v>3</v>
      </c>
      <c r="D5">
        <v>0</v>
      </c>
      <c r="G5" t="s">
        <v>27</v>
      </c>
      <c r="H5" t="s">
        <v>28</v>
      </c>
      <c r="I5" t="s">
        <v>29</v>
      </c>
      <c r="J5" s="3" t="s">
        <v>28</v>
      </c>
    </row>
    <row r="6" spans="1:12" x14ac:dyDescent="0.35">
      <c r="B6">
        <v>4</v>
      </c>
      <c r="C6">
        <v>4</v>
      </c>
      <c r="D6">
        <v>0</v>
      </c>
      <c r="G6" t="s">
        <v>30</v>
      </c>
      <c r="H6" t="s">
        <v>19</v>
      </c>
      <c r="I6" t="s">
        <v>23</v>
      </c>
      <c r="J6" s="2" t="s">
        <v>19</v>
      </c>
    </row>
    <row r="7" spans="1:12" x14ac:dyDescent="0.35">
      <c r="B7">
        <v>5</v>
      </c>
      <c r="C7">
        <v>5</v>
      </c>
      <c r="D7">
        <v>0</v>
      </c>
      <c r="G7" t="s">
        <v>31</v>
      </c>
      <c r="H7" t="s">
        <v>15</v>
      </c>
      <c r="I7" t="s">
        <v>23</v>
      </c>
      <c r="J7" s="2" t="s">
        <v>15</v>
      </c>
    </row>
    <row r="8" spans="1:12" x14ac:dyDescent="0.35">
      <c r="B8">
        <v>6</v>
      </c>
      <c r="C8">
        <v>6</v>
      </c>
      <c r="D8">
        <v>0</v>
      </c>
      <c r="G8" t="s">
        <v>32</v>
      </c>
      <c r="H8" t="s">
        <v>17</v>
      </c>
      <c r="I8" t="s">
        <v>23</v>
      </c>
      <c r="J8" t="s">
        <v>33</v>
      </c>
    </row>
    <row r="9" spans="1:12" x14ac:dyDescent="0.35">
      <c r="B9">
        <v>7</v>
      </c>
      <c r="C9">
        <v>7</v>
      </c>
      <c r="D9">
        <v>0</v>
      </c>
      <c r="G9" t="s">
        <v>34</v>
      </c>
      <c r="H9" t="s">
        <v>35</v>
      </c>
      <c r="I9" t="s">
        <v>29</v>
      </c>
      <c r="J9" s="3" t="s">
        <v>35</v>
      </c>
    </row>
    <row r="10" spans="1:12" x14ac:dyDescent="0.35">
      <c r="B10">
        <v>8</v>
      </c>
      <c r="C10">
        <v>8</v>
      </c>
      <c r="D10">
        <v>0</v>
      </c>
      <c r="G10" t="s">
        <v>36</v>
      </c>
      <c r="H10" t="s">
        <v>37</v>
      </c>
      <c r="I10" t="s">
        <v>23</v>
      </c>
      <c r="J10" s="2" t="s">
        <v>37</v>
      </c>
    </row>
    <row r="11" spans="1:12" x14ac:dyDescent="0.35">
      <c r="B11">
        <v>9</v>
      </c>
      <c r="C11">
        <v>9</v>
      </c>
      <c r="D11">
        <v>0</v>
      </c>
      <c r="G11" t="s">
        <v>38</v>
      </c>
      <c r="H11" t="s">
        <v>39</v>
      </c>
      <c r="I11" t="s">
        <v>29</v>
      </c>
    </row>
    <row r="12" spans="1:12" x14ac:dyDescent="0.35">
      <c r="B12">
        <v>10</v>
      </c>
      <c r="C12">
        <v>10</v>
      </c>
      <c r="D12">
        <v>0</v>
      </c>
      <c r="G12" t="s">
        <v>40</v>
      </c>
      <c r="H12" t="s">
        <v>18</v>
      </c>
      <c r="I12" t="s">
        <v>23</v>
      </c>
      <c r="J12" s="2" t="s">
        <v>18</v>
      </c>
    </row>
    <row r="13" spans="1:12" x14ac:dyDescent="0.35">
      <c r="B13">
        <v>11</v>
      </c>
      <c r="C13">
        <v>11</v>
      </c>
      <c r="D13">
        <v>0</v>
      </c>
      <c r="G13" t="s">
        <v>41</v>
      </c>
      <c r="H13" t="s">
        <v>42</v>
      </c>
      <c r="I13" t="s">
        <v>23</v>
      </c>
      <c r="J13" s="2" t="s">
        <v>42</v>
      </c>
    </row>
    <row r="14" spans="1:12" x14ac:dyDescent="0.35">
      <c r="B14">
        <v>12</v>
      </c>
      <c r="C14">
        <v>12</v>
      </c>
      <c r="D14">
        <v>0</v>
      </c>
      <c r="G14" t="s">
        <v>43</v>
      </c>
      <c r="H14" t="s">
        <v>12</v>
      </c>
      <c r="I14" t="s">
        <v>23</v>
      </c>
      <c r="J14" s="2" t="s">
        <v>12</v>
      </c>
    </row>
    <row r="15" spans="1:12" x14ac:dyDescent="0.35">
      <c r="B15">
        <v>13</v>
      </c>
      <c r="C15">
        <v>13</v>
      </c>
      <c r="D15">
        <v>0</v>
      </c>
      <c r="G15" t="s">
        <v>44</v>
      </c>
      <c r="H15" t="s">
        <v>45</v>
      </c>
      <c r="I15" t="s">
        <v>29</v>
      </c>
      <c r="J15" s="3" t="s">
        <v>45</v>
      </c>
    </row>
    <row r="16" spans="1:12" x14ac:dyDescent="0.35">
      <c r="B16">
        <v>14</v>
      </c>
      <c r="C16">
        <v>14</v>
      </c>
      <c r="D16">
        <v>0</v>
      </c>
      <c r="G16" t="s">
        <v>46</v>
      </c>
      <c r="H16" t="s">
        <v>47</v>
      </c>
      <c r="I16" t="s">
        <v>29</v>
      </c>
      <c r="J16" s="3" t="s">
        <v>47</v>
      </c>
      <c r="K16" t="s">
        <v>71</v>
      </c>
      <c r="L16" s="4">
        <v>15</v>
      </c>
    </row>
    <row r="17" spans="2:12" x14ac:dyDescent="0.35">
      <c r="B17">
        <v>15</v>
      </c>
      <c r="C17">
        <v>15</v>
      </c>
      <c r="D17">
        <v>0</v>
      </c>
      <c r="G17" t="s">
        <v>48</v>
      </c>
      <c r="H17" t="s">
        <v>11</v>
      </c>
      <c r="I17" t="s">
        <v>23</v>
      </c>
      <c r="K17" t="s">
        <v>69</v>
      </c>
      <c r="L17" s="6">
        <f>11/15</f>
        <v>0.73333333333333328</v>
      </c>
    </row>
    <row r="18" spans="2:12" x14ac:dyDescent="0.35">
      <c r="B18">
        <v>16</v>
      </c>
      <c r="C18">
        <v>16</v>
      </c>
      <c r="D18">
        <v>0</v>
      </c>
      <c r="G18" t="s">
        <v>49</v>
      </c>
      <c r="H18" t="s">
        <v>13</v>
      </c>
      <c r="I18" t="s">
        <v>23</v>
      </c>
      <c r="J18" s="2" t="s">
        <v>13</v>
      </c>
      <c r="K18" t="s">
        <v>70</v>
      </c>
      <c r="L18" s="4">
        <f>4/5</f>
        <v>0.8</v>
      </c>
    </row>
    <row r="19" spans="2:12" x14ac:dyDescent="0.35">
      <c r="B19">
        <v>17</v>
      </c>
      <c r="C19">
        <v>17</v>
      </c>
      <c r="D19">
        <v>0</v>
      </c>
      <c r="G19" t="s">
        <v>50</v>
      </c>
      <c r="H19" t="s">
        <v>21</v>
      </c>
      <c r="I19" t="s">
        <v>23</v>
      </c>
      <c r="J19" t="s">
        <v>42</v>
      </c>
    </row>
    <row r="20" spans="2:12" x14ac:dyDescent="0.35">
      <c r="B20">
        <v>18</v>
      </c>
      <c r="C20">
        <v>18</v>
      </c>
      <c r="D20">
        <v>0</v>
      </c>
      <c r="G20" t="s">
        <v>51</v>
      </c>
      <c r="H20" t="s">
        <v>14</v>
      </c>
      <c r="I20" t="s">
        <v>23</v>
      </c>
      <c r="J20" s="2" t="s">
        <v>14</v>
      </c>
      <c r="K20" t="s">
        <v>72</v>
      </c>
      <c r="L20" s="8">
        <f>L17-L18</f>
        <v>-6.6666666666666763E-2</v>
      </c>
    </row>
    <row r="21" spans="2:12" x14ac:dyDescent="0.35">
      <c r="B21">
        <v>19</v>
      </c>
      <c r="C21">
        <v>19</v>
      </c>
      <c r="D21">
        <v>0</v>
      </c>
      <c r="G21" t="s">
        <v>52</v>
      </c>
      <c r="H21" t="s">
        <v>10</v>
      </c>
      <c r="I21" t="s">
        <v>23</v>
      </c>
      <c r="J21" s="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668D-5E25-4185-8CA7-AECCDB0A2E3D}">
  <dimension ref="B1:G21"/>
  <sheetViews>
    <sheetView workbookViewId="0">
      <selection activeCell="G20" sqref="G20"/>
    </sheetView>
  </sheetViews>
  <sheetFormatPr defaultRowHeight="14.5" x14ac:dyDescent="0.35"/>
  <cols>
    <col min="2" max="2" width="13" customWidth="1"/>
    <col min="3" max="3" width="11.54296875" customWidth="1"/>
    <col min="4" max="4" width="12.7265625" customWidth="1"/>
    <col min="5" max="5" width="20.08984375" customWidth="1"/>
    <col min="6" max="6" width="42.1796875" customWidth="1"/>
  </cols>
  <sheetData>
    <row r="1" spans="2:7" x14ac:dyDescent="0.35">
      <c r="B1" t="s">
        <v>6</v>
      </c>
      <c r="C1" t="s">
        <v>7</v>
      </c>
      <c r="D1" t="s">
        <v>8</v>
      </c>
      <c r="E1" t="s">
        <v>9</v>
      </c>
    </row>
    <row r="2" spans="2:7" x14ac:dyDescent="0.35">
      <c r="B2" t="s">
        <v>27</v>
      </c>
      <c r="C2" t="s">
        <v>28</v>
      </c>
      <c r="D2" t="s">
        <v>29</v>
      </c>
      <c r="E2" s="3" t="s">
        <v>28</v>
      </c>
    </row>
    <row r="3" spans="2:7" x14ac:dyDescent="0.35">
      <c r="B3" t="s">
        <v>48</v>
      </c>
      <c r="C3" t="s">
        <v>11</v>
      </c>
      <c r="D3" t="s">
        <v>23</v>
      </c>
      <c r="E3" s="5" t="s">
        <v>11</v>
      </c>
    </row>
    <row r="4" spans="2:7" x14ac:dyDescent="0.35">
      <c r="B4" t="s">
        <v>49</v>
      </c>
      <c r="C4" t="s">
        <v>13</v>
      </c>
      <c r="D4" t="s">
        <v>23</v>
      </c>
      <c r="E4" s="5" t="s">
        <v>13</v>
      </c>
    </row>
    <row r="5" spans="2:7" x14ac:dyDescent="0.35">
      <c r="B5" t="s">
        <v>22</v>
      </c>
      <c r="C5" t="s">
        <v>20</v>
      </c>
      <c r="D5" t="s">
        <v>23</v>
      </c>
      <c r="E5" s="5" t="s">
        <v>20</v>
      </c>
    </row>
    <row r="6" spans="2:7" x14ac:dyDescent="0.35">
      <c r="B6" t="s">
        <v>46</v>
      </c>
      <c r="C6" t="s">
        <v>47</v>
      </c>
      <c r="D6" t="s">
        <v>29</v>
      </c>
      <c r="E6" s="3" t="s">
        <v>47</v>
      </c>
    </row>
    <row r="7" spans="2:7" x14ac:dyDescent="0.35">
      <c r="B7" t="s">
        <v>51</v>
      </c>
      <c r="C7" t="s">
        <v>14</v>
      </c>
      <c r="D7" t="s">
        <v>23</v>
      </c>
      <c r="E7" s="5" t="s">
        <v>14</v>
      </c>
    </row>
    <row r="8" spans="2:7" x14ac:dyDescent="0.35">
      <c r="B8" t="s">
        <v>30</v>
      </c>
      <c r="C8" t="s">
        <v>19</v>
      </c>
      <c r="D8" t="s">
        <v>23</v>
      </c>
      <c r="E8" s="5" t="s">
        <v>19</v>
      </c>
    </row>
    <row r="9" spans="2:7" x14ac:dyDescent="0.35">
      <c r="B9" t="s">
        <v>40</v>
      </c>
      <c r="C9" t="s">
        <v>18</v>
      </c>
      <c r="D9" t="s">
        <v>23</v>
      </c>
      <c r="E9" s="5" t="s">
        <v>18</v>
      </c>
    </row>
    <row r="10" spans="2:7" x14ac:dyDescent="0.35">
      <c r="B10" t="s">
        <v>36</v>
      </c>
      <c r="C10" t="s">
        <v>37</v>
      </c>
      <c r="D10" t="s">
        <v>23</v>
      </c>
      <c r="E10" s="5" t="s">
        <v>37</v>
      </c>
    </row>
    <row r="11" spans="2:7" x14ac:dyDescent="0.35">
      <c r="B11" t="s">
        <v>24</v>
      </c>
      <c r="C11" t="s">
        <v>16</v>
      </c>
      <c r="D11" t="s">
        <v>23</v>
      </c>
      <c r="E11" s="5" t="s">
        <v>16</v>
      </c>
    </row>
    <row r="12" spans="2:7" x14ac:dyDescent="0.35">
      <c r="B12" t="s">
        <v>44</v>
      </c>
      <c r="C12" t="s">
        <v>45</v>
      </c>
      <c r="D12" t="s">
        <v>29</v>
      </c>
      <c r="E12" s="3" t="s">
        <v>45</v>
      </c>
    </row>
    <row r="13" spans="2:7" x14ac:dyDescent="0.35">
      <c r="B13" t="s">
        <v>31</v>
      </c>
      <c r="C13" t="s">
        <v>15</v>
      </c>
      <c r="D13" t="s">
        <v>23</v>
      </c>
      <c r="E13" s="5" t="s">
        <v>15</v>
      </c>
    </row>
    <row r="14" spans="2:7" x14ac:dyDescent="0.35">
      <c r="B14" t="s">
        <v>50</v>
      </c>
      <c r="C14" t="s">
        <v>21</v>
      </c>
      <c r="D14" t="s">
        <v>23</v>
      </c>
      <c r="E14" t="s">
        <v>42</v>
      </c>
    </row>
    <row r="15" spans="2:7" x14ac:dyDescent="0.35">
      <c r="B15" t="s">
        <v>25</v>
      </c>
      <c r="C15" t="s">
        <v>26</v>
      </c>
      <c r="D15" t="s">
        <v>23</v>
      </c>
      <c r="E15" s="5" t="s">
        <v>26</v>
      </c>
    </row>
    <row r="16" spans="2:7" x14ac:dyDescent="0.35">
      <c r="B16" t="s">
        <v>43</v>
      </c>
      <c r="C16" t="s">
        <v>12</v>
      </c>
      <c r="D16" t="s">
        <v>23</v>
      </c>
      <c r="E16" s="5" t="s">
        <v>12</v>
      </c>
      <c r="F16" t="s">
        <v>71</v>
      </c>
      <c r="G16" s="4">
        <v>17</v>
      </c>
    </row>
    <row r="17" spans="2:7" x14ac:dyDescent="0.35">
      <c r="B17" t="s">
        <v>34</v>
      </c>
      <c r="C17" t="s">
        <v>35</v>
      </c>
      <c r="D17" t="s">
        <v>29</v>
      </c>
      <c r="E17" t="s">
        <v>53</v>
      </c>
      <c r="F17" t="s">
        <v>69</v>
      </c>
      <c r="G17" s="6">
        <f>13/15</f>
        <v>0.8666666666666667</v>
      </c>
    </row>
    <row r="18" spans="2:7" x14ac:dyDescent="0.35">
      <c r="B18" t="s">
        <v>52</v>
      </c>
      <c r="C18" t="s">
        <v>10</v>
      </c>
      <c r="D18" t="s">
        <v>23</v>
      </c>
      <c r="E18" s="5" t="s">
        <v>10</v>
      </c>
      <c r="F18" t="s">
        <v>70</v>
      </c>
      <c r="G18" s="4">
        <f>4/5</f>
        <v>0.8</v>
      </c>
    </row>
    <row r="19" spans="2:7" x14ac:dyDescent="0.35">
      <c r="B19" t="s">
        <v>38</v>
      </c>
      <c r="C19" t="s">
        <v>39</v>
      </c>
      <c r="D19" t="s">
        <v>29</v>
      </c>
      <c r="E19" s="3" t="s">
        <v>39</v>
      </c>
    </row>
    <row r="20" spans="2:7" x14ac:dyDescent="0.35">
      <c r="B20" t="s">
        <v>32</v>
      </c>
      <c r="C20" t="s">
        <v>17</v>
      </c>
      <c r="D20" t="s">
        <v>23</v>
      </c>
      <c r="E20" t="s">
        <v>54</v>
      </c>
      <c r="F20" t="s">
        <v>72</v>
      </c>
      <c r="G20" s="8">
        <f>G17-G18</f>
        <v>6.6666666666666652E-2</v>
      </c>
    </row>
    <row r="21" spans="2:7" x14ac:dyDescent="0.35">
      <c r="B21" t="s">
        <v>41</v>
      </c>
      <c r="C21" t="s">
        <v>42</v>
      </c>
      <c r="D21" t="s">
        <v>23</v>
      </c>
      <c r="E21" s="5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92C9-9F11-4A52-94A1-1C416D89F977}">
  <dimension ref="B1:G21"/>
  <sheetViews>
    <sheetView workbookViewId="0">
      <selection activeCell="G17" sqref="G17"/>
    </sheetView>
  </sheetViews>
  <sheetFormatPr defaultRowHeight="14.5" x14ac:dyDescent="0.35"/>
  <cols>
    <col min="2" max="2" width="18.81640625" customWidth="1"/>
    <col min="3" max="3" width="22.54296875" customWidth="1"/>
    <col min="4" max="4" width="19.36328125" customWidth="1"/>
    <col min="5" max="5" width="31.36328125" customWidth="1"/>
    <col min="6" max="6" width="32.54296875" customWidth="1"/>
  </cols>
  <sheetData>
    <row r="1" spans="2:7" ht="18" customHeight="1" x14ac:dyDescent="0.35">
      <c r="B1" t="s">
        <v>6</v>
      </c>
      <c r="C1" t="s">
        <v>7</v>
      </c>
      <c r="D1" t="s">
        <v>8</v>
      </c>
      <c r="E1" t="s">
        <v>9</v>
      </c>
    </row>
    <row r="2" spans="2:7" ht="13.5" customHeight="1" x14ac:dyDescent="0.35">
      <c r="B2" t="s">
        <v>44</v>
      </c>
      <c r="C2" t="s">
        <v>45</v>
      </c>
      <c r="D2" t="s">
        <v>29</v>
      </c>
      <c r="E2" s="1" t="s">
        <v>55</v>
      </c>
    </row>
    <row r="3" spans="2:7" ht="13.5" customHeight="1" x14ac:dyDescent="0.35">
      <c r="B3" t="s">
        <v>38</v>
      </c>
      <c r="C3" t="s">
        <v>39</v>
      </c>
      <c r="D3" t="s">
        <v>29</v>
      </c>
      <c r="E3" s="3" t="s">
        <v>39</v>
      </c>
    </row>
    <row r="4" spans="2:7" ht="13.5" customHeight="1" x14ac:dyDescent="0.35">
      <c r="B4" t="s">
        <v>43</v>
      </c>
      <c r="C4" t="s">
        <v>12</v>
      </c>
      <c r="D4" t="s">
        <v>23</v>
      </c>
      <c r="E4" t="s">
        <v>56</v>
      </c>
    </row>
    <row r="5" spans="2:7" ht="13.5" customHeight="1" x14ac:dyDescent="0.35">
      <c r="B5" t="s">
        <v>31</v>
      </c>
      <c r="C5" t="s">
        <v>15</v>
      </c>
      <c r="D5" t="s">
        <v>23</v>
      </c>
      <c r="E5" s="5" t="s">
        <v>15</v>
      </c>
    </row>
    <row r="6" spans="2:7" ht="13.5" customHeight="1" x14ac:dyDescent="0.35">
      <c r="B6" t="s">
        <v>32</v>
      </c>
      <c r="C6" t="s">
        <v>17</v>
      </c>
      <c r="D6" t="s">
        <v>23</v>
      </c>
      <c r="E6" t="s">
        <v>57</v>
      </c>
    </row>
    <row r="7" spans="2:7" ht="13.5" customHeight="1" x14ac:dyDescent="0.35">
      <c r="B7" t="s">
        <v>30</v>
      </c>
      <c r="C7" t="s">
        <v>19</v>
      </c>
      <c r="D7" t="s">
        <v>23</v>
      </c>
      <c r="E7" t="s">
        <v>58</v>
      </c>
    </row>
    <row r="8" spans="2:7" ht="13.5" customHeight="1" x14ac:dyDescent="0.35">
      <c r="B8" t="s">
        <v>48</v>
      </c>
      <c r="C8" t="s">
        <v>11</v>
      </c>
      <c r="D8" t="s">
        <v>23</v>
      </c>
      <c r="E8" t="s">
        <v>59</v>
      </c>
    </row>
    <row r="9" spans="2:7" ht="13.5" customHeight="1" x14ac:dyDescent="0.35">
      <c r="B9" t="s">
        <v>22</v>
      </c>
      <c r="C9" t="s">
        <v>20</v>
      </c>
      <c r="D9" t="s">
        <v>23</v>
      </c>
      <c r="E9" s="5" t="s">
        <v>20</v>
      </c>
    </row>
    <row r="10" spans="2:7" ht="13.5" customHeight="1" x14ac:dyDescent="0.35">
      <c r="B10" t="s">
        <v>52</v>
      </c>
      <c r="C10" t="s">
        <v>10</v>
      </c>
      <c r="D10" t="s">
        <v>23</v>
      </c>
      <c r="E10" s="5" t="s">
        <v>10</v>
      </c>
    </row>
    <row r="11" spans="2:7" ht="13.5" customHeight="1" x14ac:dyDescent="0.35">
      <c r="B11" t="s">
        <v>50</v>
      </c>
      <c r="C11" t="s">
        <v>21</v>
      </c>
      <c r="D11" t="s">
        <v>23</v>
      </c>
      <c r="E11" s="5" t="s">
        <v>21</v>
      </c>
    </row>
    <row r="12" spans="2:7" ht="13.5" customHeight="1" x14ac:dyDescent="0.35">
      <c r="B12" t="s">
        <v>27</v>
      </c>
      <c r="C12" t="s">
        <v>28</v>
      </c>
      <c r="D12" t="s">
        <v>29</v>
      </c>
      <c r="E12" s="3" t="s">
        <v>28</v>
      </c>
    </row>
    <row r="13" spans="2:7" ht="13.5" customHeight="1" x14ac:dyDescent="0.35">
      <c r="B13" t="s">
        <v>41</v>
      </c>
      <c r="C13" t="s">
        <v>42</v>
      </c>
      <c r="D13" t="s">
        <v>23</v>
      </c>
      <c r="E13" s="5" t="s">
        <v>42</v>
      </c>
    </row>
    <row r="14" spans="2:7" ht="13.5" customHeight="1" x14ac:dyDescent="0.35">
      <c r="B14" t="s">
        <v>49</v>
      </c>
      <c r="C14" t="s">
        <v>13</v>
      </c>
      <c r="D14" t="s">
        <v>23</v>
      </c>
      <c r="E14" s="5" t="s">
        <v>13</v>
      </c>
    </row>
    <row r="15" spans="2:7" ht="13.5" customHeight="1" x14ac:dyDescent="0.35">
      <c r="B15" t="s">
        <v>51</v>
      </c>
      <c r="C15" t="s">
        <v>14</v>
      </c>
      <c r="D15" t="s">
        <v>23</v>
      </c>
      <c r="E15" s="5" t="s">
        <v>14</v>
      </c>
    </row>
    <row r="16" spans="2:7" ht="13.5" customHeight="1" x14ac:dyDescent="0.35">
      <c r="B16" t="s">
        <v>25</v>
      </c>
      <c r="C16" t="s">
        <v>26</v>
      </c>
      <c r="D16" t="s">
        <v>23</v>
      </c>
      <c r="E16" t="s">
        <v>60</v>
      </c>
      <c r="F16" t="s">
        <v>71</v>
      </c>
      <c r="G16" s="4">
        <v>12</v>
      </c>
    </row>
    <row r="17" spans="2:7" x14ac:dyDescent="0.35">
      <c r="B17" t="s">
        <v>40</v>
      </c>
      <c r="C17" t="s">
        <v>18</v>
      </c>
      <c r="D17" t="s">
        <v>23</v>
      </c>
      <c r="E17" t="s">
        <v>61</v>
      </c>
      <c r="F17" t="s">
        <v>69</v>
      </c>
      <c r="G17" s="6">
        <f>9/15</f>
        <v>0.6</v>
      </c>
    </row>
    <row r="18" spans="2:7" x14ac:dyDescent="0.35">
      <c r="B18" t="s">
        <v>24</v>
      </c>
      <c r="C18" t="s">
        <v>16</v>
      </c>
      <c r="D18" t="s">
        <v>23</v>
      </c>
      <c r="E18" s="5" t="s">
        <v>16</v>
      </c>
      <c r="F18" t="s">
        <v>70</v>
      </c>
      <c r="G18" s="4">
        <f>3/5</f>
        <v>0.6</v>
      </c>
    </row>
    <row r="19" spans="2:7" x14ac:dyDescent="0.35">
      <c r="B19" t="s">
        <v>34</v>
      </c>
      <c r="C19" t="s">
        <v>35</v>
      </c>
      <c r="D19" t="s">
        <v>29</v>
      </c>
      <c r="E19" t="s">
        <v>53</v>
      </c>
    </row>
    <row r="20" spans="2:7" x14ac:dyDescent="0.35">
      <c r="B20" t="s">
        <v>46</v>
      </c>
      <c r="C20" t="s">
        <v>47</v>
      </c>
      <c r="D20" t="s">
        <v>29</v>
      </c>
      <c r="E20" s="3" t="s">
        <v>47</v>
      </c>
      <c r="F20" t="s">
        <v>72</v>
      </c>
      <c r="G20" s="9">
        <f>G17-G18</f>
        <v>0</v>
      </c>
    </row>
    <row r="21" spans="2:7" x14ac:dyDescent="0.35">
      <c r="B21" t="s">
        <v>36</v>
      </c>
      <c r="C21" t="s">
        <v>37</v>
      </c>
      <c r="D21" t="s">
        <v>23</v>
      </c>
      <c r="E21" s="5" t="s">
        <v>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5A4B-E18D-477E-A499-9B679888D9A9}">
  <dimension ref="B1:G21"/>
  <sheetViews>
    <sheetView zoomScale="104" workbookViewId="0">
      <selection activeCell="G19" sqref="G19"/>
    </sheetView>
  </sheetViews>
  <sheetFormatPr defaultRowHeight="14.5" x14ac:dyDescent="0.35"/>
  <cols>
    <col min="2" max="2" width="14.54296875" customWidth="1"/>
    <col min="3" max="3" width="22.54296875" customWidth="1"/>
    <col min="4" max="4" width="11.6328125" customWidth="1"/>
    <col min="5" max="5" width="21.08984375" customWidth="1"/>
    <col min="6" max="6" width="37" customWidth="1"/>
    <col min="7" max="7" width="10.453125" customWidth="1"/>
  </cols>
  <sheetData>
    <row r="1" spans="2:7" x14ac:dyDescent="0.35">
      <c r="B1" t="s">
        <v>6</v>
      </c>
      <c r="C1" t="s">
        <v>7</v>
      </c>
      <c r="D1" t="s">
        <v>8</v>
      </c>
      <c r="E1" t="s">
        <v>9</v>
      </c>
    </row>
    <row r="2" spans="2:7" x14ac:dyDescent="0.35">
      <c r="B2" t="s">
        <v>51</v>
      </c>
      <c r="C2" t="s">
        <v>14</v>
      </c>
      <c r="D2" t="s">
        <v>23</v>
      </c>
      <c r="E2" s="5" t="s">
        <v>14</v>
      </c>
    </row>
    <row r="3" spans="2:7" x14ac:dyDescent="0.35">
      <c r="B3" t="s">
        <v>31</v>
      </c>
      <c r="C3" t="s">
        <v>15</v>
      </c>
      <c r="D3" t="s">
        <v>23</v>
      </c>
      <c r="E3" s="5" t="s">
        <v>15</v>
      </c>
    </row>
    <row r="4" spans="2:7" x14ac:dyDescent="0.35">
      <c r="B4" t="s">
        <v>36</v>
      </c>
      <c r="C4" t="s">
        <v>37</v>
      </c>
      <c r="D4" t="s">
        <v>23</v>
      </c>
      <c r="E4" s="5" t="s">
        <v>37</v>
      </c>
    </row>
    <row r="5" spans="2:7" x14ac:dyDescent="0.35">
      <c r="B5" t="s">
        <v>43</v>
      </c>
      <c r="C5" t="s">
        <v>12</v>
      </c>
      <c r="D5" t="s">
        <v>23</v>
      </c>
      <c r="E5" s="5" t="s">
        <v>12</v>
      </c>
    </row>
    <row r="6" spans="2:7" x14ac:dyDescent="0.35">
      <c r="B6" t="s">
        <v>38</v>
      </c>
      <c r="C6" t="s">
        <v>39</v>
      </c>
      <c r="D6" t="s">
        <v>29</v>
      </c>
      <c r="E6" s="3" t="s">
        <v>39</v>
      </c>
    </row>
    <row r="7" spans="2:7" x14ac:dyDescent="0.35">
      <c r="B7" t="s">
        <v>27</v>
      </c>
      <c r="C7" t="s">
        <v>28</v>
      </c>
      <c r="D7" t="s">
        <v>29</v>
      </c>
      <c r="E7" s="3" t="s">
        <v>28</v>
      </c>
    </row>
    <row r="8" spans="2:7" x14ac:dyDescent="0.35">
      <c r="B8" t="s">
        <v>48</v>
      </c>
      <c r="C8" t="s">
        <v>11</v>
      </c>
      <c r="D8" t="s">
        <v>23</v>
      </c>
      <c r="E8" s="5" t="s">
        <v>11</v>
      </c>
    </row>
    <row r="9" spans="2:7" x14ac:dyDescent="0.35">
      <c r="B9" t="s">
        <v>50</v>
      </c>
      <c r="C9" t="s">
        <v>21</v>
      </c>
      <c r="D9" t="s">
        <v>23</v>
      </c>
      <c r="E9" s="5" t="s">
        <v>21</v>
      </c>
    </row>
    <row r="10" spans="2:7" x14ac:dyDescent="0.35">
      <c r="B10" t="s">
        <v>52</v>
      </c>
      <c r="C10" t="s">
        <v>10</v>
      </c>
      <c r="D10" t="s">
        <v>23</v>
      </c>
      <c r="E10" s="5" t="s">
        <v>10</v>
      </c>
    </row>
    <row r="11" spans="2:7" x14ac:dyDescent="0.35">
      <c r="B11" t="s">
        <v>40</v>
      </c>
      <c r="C11" t="s">
        <v>18</v>
      </c>
      <c r="D11" t="s">
        <v>23</v>
      </c>
      <c r="E11" s="5" t="s">
        <v>18</v>
      </c>
    </row>
    <row r="12" spans="2:7" x14ac:dyDescent="0.35">
      <c r="B12" t="s">
        <v>41</v>
      </c>
      <c r="C12" t="s">
        <v>42</v>
      </c>
      <c r="D12" t="s">
        <v>23</v>
      </c>
      <c r="E12" s="5" t="s">
        <v>42</v>
      </c>
    </row>
    <row r="13" spans="2:7" x14ac:dyDescent="0.35">
      <c r="B13" t="s">
        <v>22</v>
      </c>
      <c r="C13" t="s">
        <v>20</v>
      </c>
      <c r="D13" t="s">
        <v>23</v>
      </c>
      <c r="E13" s="5" t="s">
        <v>20</v>
      </c>
    </row>
    <row r="14" spans="2:7" x14ac:dyDescent="0.35">
      <c r="B14" t="s">
        <v>24</v>
      </c>
      <c r="C14" t="s">
        <v>16</v>
      </c>
      <c r="D14" t="s">
        <v>23</v>
      </c>
      <c r="E14" s="5" t="s">
        <v>16</v>
      </c>
    </row>
    <row r="15" spans="2:7" x14ac:dyDescent="0.35">
      <c r="B15" t="s">
        <v>30</v>
      </c>
      <c r="C15" t="s">
        <v>19</v>
      </c>
      <c r="D15" t="s">
        <v>23</v>
      </c>
      <c r="F15" t="s">
        <v>71</v>
      </c>
      <c r="G15" s="4">
        <v>17</v>
      </c>
    </row>
    <row r="16" spans="2:7" x14ac:dyDescent="0.35">
      <c r="B16" t="s">
        <v>46</v>
      </c>
      <c r="C16" t="s">
        <v>47</v>
      </c>
      <c r="D16" t="s">
        <v>29</v>
      </c>
      <c r="E16" t="s">
        <v>62</v>
      </c>
      <c r="F16" t="s">
        <v>69</v>
      </c>
      <c r="G16" s="6">
        <f>13/15</f>
        <v>0.8666666666666667</v>
      </c>
    </row>
    <row r="17" spans="2:7" x14ac:dyDescent="0.35">
      <c r="B17" t="s">
        <v>49</v>
      </c>
      <c r="C17" t="s">
        <v>13</v>
      </c>
      <c r="D17" t="s">
        <v>23</v>
      </c>
      <c r="E17" s="5" t="s">
        <v>13</v>
      </c>
      <c r="F17" t="s">
        <v>70</v>
      </c>
      <c r="G17" s="4">
        <f>4/5</f>
        <v>0.8</v>
      </c>
    </row>
    <row r="18" spans="2:7" x14ac:dyDescent="0.35">
      <c r="B18" t="s">
        <v>34</v>
      </c>
      <c r="C18" t="s">
        <v>35</v>
      </c>
      <c r="D18" t="s">
        <v>29</v>
      </c>
      <c r="E18" s="3" t="s">
        <v>35</v>
      </c>
    </row>
    <row r="19" spans="2:7" x14ac:dyDescent="0.35">
      <c r="B19" t="s">
        <v>25</v>
      </c>
      <c r="C19" t="s">
        <v>26</v>
      </c>
      <c r="D19" t="s">
        <v>23</v>
      </c>
      <c r="E19" s="5" t="s">
        <v>26</v>
      </c>
      <c r="F19" t="s">
        <v>72</v>
      </c>
      <c r="G19" s="8">
        <f>G16-G17</f>
        <v>6.6666666666666652E-2</v>
      </c>
    </row>
    <row r="20" spans="2:7" x14ac:dyDescent="0.35">
      <c r="B20" t="s">
        <v>44</v>
      </c>
      <c r="C20" t="s">
        <v>45</v>
      </c>
      <c r="D20" t="s">
        <v>29</v>
      </c>
      <c r="E20" s="3" t="s">
        <v>45</v>
      </c>
    </row>
    <row r="21" spans="2:7" x14ac:dyDescent="0.35">
      <c r="B21" t="s">
        <v>32</v>
      </c>
      <c r="C21" t="s">
        <v>17</v>
      </c>
      <c r="D21" t="s">
        <v>23</v>
      </c>
      <c r="E21" t="s">
        <v>33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AEE5-24E4-43C6-80D3-59AB2502F1AF}">
  <dimension ref="B1:G21"/>
  <sheetViews>
    <sheetView tabSelected="1" workbookViewId="0">
      <selection activeCell="G17" sqref="G17"/>
    </sheetView>
  </sheetViews>
  <sheetFormatPr defaultRowHeight="14.5" x14ac:dyDescent="0.35"/>
  <cols>
    <col min="2" max="2" width="16.54296875" customWidth="1"/>
    <col min="3" max="3" width="15.1796875" customWidth="1"/>
    <col min="4" max="4" width="13.26953125" customWidth="1"/>
    <col min="5" max="5" width="21.26953125" customWidth="1"/>
    <col min="6" max="6" width="34.54296875" customWidth="1"/>
    <col min="7" max="7" width="9.36328125" bestFit="1" customWidth="1"/>
  </cols>
  <sheetData>
    <row r="1" spans="2:7" x14ac:dyDescent="0.35">
      <c r="B1" t="s">
        <v>6</v>
      </c>
      <c r="C1" t="s">
        <v>7</v>
      </c>
      <c r="D1" t="s">
        <v>8</v>
      </c>
      <c r="E1" t="s">
        <v>9</v>
      </c>
    </row>
    <row r="2" spans="2:7" x14ac:dyDescent="0.35">
      <c r="B2" t="s">
        <v>27</v>
      </c>
      <c r="C2" t="s">
        <v>28</v>
      </c>
      <c r="D2" t="s">
        <v>29</v>
      </c>
      <c r="E2" s="3" t="s">
        <v>28</v>
      </c>
    </row>
    <row r="3" spans="2:7" x14ac:dyDescent="0.35">
      <c r="B3" t="s">
        <v>24</v>
      </c>
      <c r="C3" t="s">
        <v>16</v>
      </c>
      <c r="D3" t="s">
        <v>23</v>
      </c>
      <c r="E3" s="5" t="s">
        <v>16</v>
      </c>
    </row>
    <row r="4" spans="2:7" x14ac:dyDescent="0.35">
      <c r="B4" t="s">
        <v>48</v>
      </c>
      <c r="C4" t="s">
        <v>11</v>
      </c>
      <c r="D4" t="s">
        <v>23</v>
      </c>
      <c r="E4" s="5" t="s">
        <v>11</v>
      </c>
    </row>
    <row r="5" spans="2:7" x14ac:dyDescent="0.35">
      <c r="B5" t="s">
        <v>46</v>
      </c>
      <c r="C5" t="s">
        <v>47</v>
      </c>
      <c r="D5" t="s">
        <v>29</v>
      </c>
      <c r="E5" t="s">
        <v>63</v>
      </c>
    </row>
    <row r="6" spans="2:7" x14ac:dyDescent="0.35">
      <c r="B6" t="s">
        <v>50</v>
      </c>
      <c r="C6" t="s">
        <v>21</v>
      </c>
      <c r="D6" t="s">
        <v>23</v>
      </c>
      <c r="E6" t="s">
        <v>64</v>
      </c>
    </row>
    <row r="7" spans="2:7" x14ac:dyDescent="0.35">
      <c r="B7" t="s">
        <v>41</v>
      </c>
      <c r="C7" t="s">
        <v>42</v>
      </c>
      <c r="D7" t="s">
        <v>23</v>
      </c>
      <c r="E7" s="5" t="s">
        <v>42</v>
      </c>
    </row>
    <row r="8" spans="2:7" x14ac:dyDescent="0.35">
      <c r="B8" t="s">
        <v>22</v>
      </c>
      <c r="C8" t="s">
        <v>20</v>
      </c>
      <c r="D8" t="s">
        <v>23</v>
      </c>
      <c r="E8" s="5" t="s">
        <v>20</v>
      </c>
    </row>
    <row r="9" spans="2:7" x14ac:dyDescent="0.35">
      <c r="B9" t="s">
        <v>43</v>
      </c>
      <c r="C9" t="s">
        <v>12</v>
      </c>
      <c r="D9" t="s">
        <v>23</v>
      </c>
      <c r="E9" s="5" t="s">
        <v>12</v>
      </c>
    </row>
    <row r="10" spans="2:7" x14ac:dyDescent="0.35">
      <c r="B10" t="s">
        <v>36</v>
      </c>
      <c r="C10" t="s">
        <v>37</v>
      </c>
      <c r="D10" t="s">
        <v>23</v>
      </c>
      <c r="E10" t="s">
        <v>65</v>
      </c>
    </row>
    <row r="11" spans="2:7" x14ac:dyDescent="0.35">
      <c r="B11" t="s">
        <v>44</v>
      </c>
      <c r="C11" t="s">
        <v>45</v>
      </c>
      <c r="D11" t="s">
        <v>29</v>
      </c>
      <c r="E11" s="3" t="s">
        <v>45</v>
      </c>
    </row>
    <row r="12" spans="2:7" ht="29" x14ac:dyDescent="0.35">
      <c r="B12" t="s">
        <v>40</v>
      </c>
      <c r="C12" t="s">
        <v>18</v>
      </c>
      <c r="D12" t="s">
        <v>23</v>
      </c>
      <c r="E12" s="1" t="s">
        <v>66</v>
      </c>
    </row>
    <row r="13" spans="2:7" x14ac:dyDescent="0.35">
      <c r="B13" t="s">
        <v>52</v>
      </c>
      <c r="C13" t="s">
        <v>10</v>
      </c>
      <c r="D13" t="s">
        <v>23</v>
      </c>
      <c r="E13" s="5" t="s">
        <v>10</v>
      </c>
      <c r="F13" t="s">
        <v>71</v>
      </c>
      <c r="G13" s="4">
        <v>13</v>
      </c>
    </row>
    <row r="14" spans="2:7" x14ac:dyDescent="0.35">
      <c r="B14" t="s">
        <v>32</v>
      </c>
      <c r="C14" t="s">
        <v>17</v>
      </c>
      <c r="D14" t="s">
        <v>23</v>
      </c>
      <c r="E14" t="s">
        <v>67</v>
      </c>
      <c r="F14" t="s">
        <v>69</v>
      </c>
      <c r="G14" s="6">
        <f>10/15</f>
        <v>0.66666666666666663</v>
      </c>
    </row>
    <row r="15" spans="2:7" x14ac:dyDescent="0.35">
      <c r="B15" t="s">
        <v>51</v>
      </c>
      <c r="C15" t="s">
        <v>14</v>
      </c>
      <c r="D15" t="s">
        <v>23</v>
      </c>
      <c r="E15" s="5" t="s">
        <v>14</v>
      </c>
      <c r="F15" t="s">
        <v>70</v>
      </c>
      <c r="G15" s="7">
        <f>3/5</f>
        <v>0.6</v>
      </c>
    </row>
    <row r="16" spans="2:7" x14ac:dyDescent="0.35">
      <c r="B16" t="s">
        <v>25</v>
      </c>
      <c r="C16" t="s">
        <v>26</v>
      </c>
      <c r="D16" t="s">
        <v>23</v>
      </c>
      <c r="E16" s="5" t="s">
        <v>26</v>
      </c>
    </row>
    <row r="17" spans="2:7" x14ac:dyDescent="0.35">
      <c r="B17" t="s">
        <v>34</v>
      </c>
      <c r="C17" t="s">
        <v>35</v>
      </c>
      <c r="D17" t="s">
        <v>29</v>
      </c>
      <c r="E17" t="s">
        <v>68</v>
      </c>
      <c r="F17" t="s">
        <v>72</v>
      </c>
      <c r="G17" s="8">
        <f>G14-G15</f>
        <v>6.6666666666666652E-2</v>
      </c>
    </row>
    <row r="18" spans="2:7" x14ac:dyDescent="0.35">
      <c r="B18" t="s">
        <v>31</v>
      </c>
      <c r="C18" t="s">
        <v>15</v>
      </c>
      <c r="D18" t="s">
        <v>23</v>
      </c>
      <c r="E18" s="5" t="s">
        <v>15</v>
      </c>
    </row>
    <row r="19" spans="2:7" x14ac:dyDescent="0.35">
      <c r="B19" t="s">
        <v>38</v>
      </c>
      <c r="C19" t="s">
        <v>39</v>
      </c>
      <c r="D19" t="s">
        <v>29</v>
      </c>
      <c r="E19" s="3" t="s">
        <v>39</v>
      </c>
    </row>
    <row r="20" spans="2:7" x14ac:dyDescent="0.35">
      <c r="B20" t="s">
        <v>49</v>
      </c>
      <c r="C20" t="s">
        <v>13</v>
      </c>
      <c r="D20" t="s">
        <v>23</v>
      </c>
      <c r="E20" s="5" t="s">
        <v>13</v>
      </c>
    </row>
    <row r="21" spans="2:7" x14ac:dyDescent="0.35">
      <c r="B21" t="s">
        <v>30</v>
      </c>
      <c r="C21" t="s">
        <v>19</v>
      </c>
      <c r="D2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Tewari</dc:creator>
  <cp:lastModifiedBy>Nupur Tewari</cp:lastModifiedBy>
  <dcterms:created xsi:type="dcterms:W3CDTF">2025-10-19T14:51:58Z</dcterms:created>
  <dcterms:modified xsi:type="dcterms:W3CDTF">2025-10-19T18:35:51Z</dcterms:modified>
</cp:coreProperties>
</file>