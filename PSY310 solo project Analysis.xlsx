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82382b8f558c/Desktop/LAB IN PSY/PSY310 solo project/"/>
    </mc:Choice>
  </mc:AlternateContent>
  <xr:revisionPtr revIDLastSave="530" documentId="8_{F4976D51-132E-4223-AA74-E0E7665843E9}" xr6:coauthVersionLast="47" xr6:coauthVersionMax="47" xr10:uidLastSave="{B8DC1F74-5B71-4455-B609-D45D9FAF6E4F}"/>
  <bookViews>
    <workbookView xWindow="-110" yWindow="-110" windowWidth="19420" windowHeight="11500" firstSheet="2" activeTab="7" xr2:uid="{0BEE14F1-DB37-40BE-9F22-F5CBE1C82309}"/>
  </bookViews>
  <sheets>
    <sheet name="Subject_01" sheetId="1" r:id="rId1"/>
    <sheet name="Subject_02" sheetId="2" r:id="rId2"/>
    <sheet name="Subject_03" sheetId="3" r:id="rId3"/>
    <sheet name="Subject_04" sheetId="4" r:id="rId4"/>
    <sheet name="Subject_05" sheetId="5" r:id="rId5"/>
    <sheet name="Subject_06" sheetId="6" r:id="rId6"/>
    <sheet name="Sheet7" sheetId="8" r:id="rId7"/>
    <sheet name="Analysis" sheetId="7" r:id="rId8"/>
  </sheets>
  <definedNames>
    <definedName name="_xlnm._FilterDatabase" localSheetId="0" hidden="1">Subject_01!$J$1:$J$107</definedName>
    <definedName name="_xlnm._FilterDatabase" localSheetId="1" hidden="1">Subject_02!$J$1:$J$109</definedName>
    <definedName name="_xlnm._FilterDatabase" localSheetId="2" hidden="1">Subject_03!$J$1:$J$104</definedName>
    <definedName name="_xlnm._FilterDatabase" localSheetId="3" hidden="1">Subject_04!$J$1:$J$107</definedName>
    <definedName name="_xlnm._FilterDatabase" localSheetId="4" hidden="1">Subject_05!$J$1:$J$106</definedName>
    <definedName name="_xlnm._FilterDatabase" localSheetId="5" hidden="1">Subject_06!$J$1:$J$103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7" l="1"/>
  <c r="C11" i="7"/>
  <c r="E11" i="7"/>
  <c r="B11" i="7"/>
  <c r="C10" i="7"/>
  <c r="D10" i="7"/>
  <c r="E10" i="7"/>
  <c r="B10" i="7"/>
  <c r="C9" i="7"/>
  <c r="D9" i="7"/>
  <c r="E9" i="7"/>
  <c r="B9" i="7"/>
  <c r="L24" i="6"/>
  <c r="L23" i="6"/>
  <c r="L22" i="6"/>
  <c r="L21" i="6"/>
  <c r="L12" i="5"/>
  <c r="L16" i="5"/>
  <c r="L15" i="5"/>
  <c r="L14" i="5"/>
  <c r="L16" i="4"/>
  <c r="L20" i="4"/>
  <c r="L19" i="4"/>
  <c r="L17" i="4"/>
  <c r="M12" i="3"/>
  <c r="M16" i="3"/>
  <c r="M15" i="3"/>
  <c r="M13" i="3"/>
  <c r="M14" i="2"/>
  <c r="M13" i="2"/>
  <c r="M17" i="2"/>
  <c r="M16" i="2"/>
  <c r="M19" i="1"/>
  <c r="M23" i="1"/>
  <c r="M25" i="1"/>
  <c r="M20" i="1"/>
  <c r="M14" i="1"/>
  <c r="M13" i="1"/>
  <c r="M9" i="2"/>
  <c r="M8" i="2"/>
  <c r="M9" i="3"/>
  <c r="M8" i="3"/>
  <c r="L8" i="4"/>
  <c r="L7" i="4"/>
  <c r="L9" i="5"/>
  <c r="L8" i="5"/>
  <c r="L13" i="6"/>
  <c r="L14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3" i="6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3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3" i="4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3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</calcChain>
</file>

<file path=xl/sharedStrings.xml><?xml version="1.0" encoding="utf-8"?>
<sst xmlns="http://schemas.openxmlformats.org/spreadsheetml/2006/main" count="3279" uniqueCount="113">
  <si>
    <t>prime_word</t>
  </si>
  <si>
    <t>prime_gender</t>
  </si>
  <si>
    <t>target_image</t>
  </si>
  <si>
    <t>target_gender</t>
  </si>
  <si>
    <t>thisN</t>
  </si>
  <si>
    <t>thisTrialN</t>
  </si>
  <si>
    <t>thisRepN</t>
  </si>
  <si>
    <t>key_resp.keys</t>
  </si>
  <si>
    <t>key_resp.rt</t>
  </si>
  <si>
    <t>Interpreter</t>
  </si>
  <si>
    <t>neutral</t>
  </si>
  <si>
    <t>f6.jpg</t>
  </si>
  <si>
    <t>female</t>
  </si>
  <si>
    <t>f</t>
  </si>
  <si>
    <t>Secretary</t>
  </si>
  <si>
    <t>feminine</t>
  </si>
  <si>
    <t>m4.jpg</t>
  </si>
  <si>
    <t>male</t>
  </si>
  <si>
    <t>m</t>
  </si>
  <si>
    <t>Baker</t>
  </si>
  <si>
    <t>m7.jpg</t>
  </si>
  <si>
    <t>Doctor</t>
  </si>
  <si>
    <t>masculine</t>
  </si>
  <si>
    <t>Democrat</t>
  </si>
  <si>
    <t>f4.jpg</t>
  </si>
  <si>
    <t>Hunter</t>
  </si>
  <si>
    <t>Pilot</t>
  </si>
  <si>
    <t>m8.jpg</t>
  </si>
  <si>
    <t>Prostitute</t>
  </si>
  <si>
    <t>f8.jpeg</t>
  </si>
  <si>
    <t>Lawyer</t>
  </si>
  <si>
    <t>m5.jpeg</t>
  </si>
  <si>
    <t>Librarian</t>
  </si>
  <si>
    <t>f5.jpeg</t>
  </si>
  <si>
    <t>Airshostess</t>
  </si>
  <si>
    <t>Mechanic</t>
  </si>
  <si>
    <t>m1.jpg</t>
  </si>
  <si>
    <t>m6.jpg</t>
  </si>
  <si>
    <t>Reporter</t>
  </si>
  <si>
    <t>m3.jpg</t>
  </si>
  <si>
    <t>Engineer</t>
  </si>
  <si>
    <t>f3.jpg</t>
  </si>
  <si>
    <t>f1.jpg</t>
  </si>
  <si>
    <t>Homemaker</t>
  </si>
  <si>
    <t>f2.jpeg</t>
  </si>
  <si>
    <t>Republican</t>
  </si>
  <si>
    <t>Nurse</t>
  </si>
  <si>
    <t>Driver</t>
  </si>
  <si>
    <t>Ballerina</t>
  </si>
  <si>
    <t>f10.jpg</t>
  </si>
  <si>
    <t>Teacher</t>
  </si>
  <si>
    <t>Artist</t>
  </si>
  <si>
    <t>Nanny</t>
  </si>
  <si>
    <t>m9.png</t>
  </si>
  <si>
    <t>Student</t>
  </si>
  <si>
    <t>f9.jpg</t>
  </si>
  <si>
    <t>m10.jpg</t>
  </si>
  <si>
    <t>Blacksmith</t>
  </si>
  <si>
    <t>Author</t>
  </si>
  <si>
    <t>f7.jpg</t>
  </si>
  <si>
    <t>m2.jpg</t>
  </si>
  <si>
    <t>Banker</t>
  </si>
  <si>
    <t>Babysitter</t>
  </si>
  <si>
    <t>Participant</t>
  </si>
  <si>
    <t>Consistent Male</t>
  </si>
  <si>
    <t>Consistant female</t>
  </si>
  <si>
    <t>Inconsistant male</t>
  </si>
  <si>
    <t>Inconsistant female</t>
  </si>
  <si>
    <t>consistency</t>
  </si>
  <si>
    <t>Consistency</t>
  </si>
  <si>
    <t>Inconsistent RT</t>
  </si>
  <si>
    <t>consistent RT</t>
  </si>
  <si>
    <t>Mean Consistent RT</t>
  </si>
  <si>
    <t>Mean Inconsistent RT</t>
  </si>
  <si>
    <t>Mean rt inconsistent</t>
  </si>
  <si>
    <t>Mean rt consistent</t>
  </si>
  <si>
    <t>Consistent male</t>
  </si>
  <si>
    <t>Consistent female</t>
  </si>
  <si>
    <t>Inconsistent male</t>
  </si>
  <si>
    <t>Inconsistent female</t>
  </si>
  <si>
    <t>mean</t>
  </si>
  <si>
    <t>SD</t>
  </si>
  <si>
    <t>SE</t>
  </si>
  <si>
    <t>Anova: Two-Factor Without Replication</t>
  </si>
  <si>
    <t>SUMMARY</t>
  </si>
  <si>
    <t>Count</t>
  </si>
  <si>
    <t>Sum</t>
  </si>
  <si>
    <t>Average</t>
  </si>
  <si>
    <t>Variance</t>
  </si>
  <si>
    <t>Row 1</t>
  </si>
  <si>
    <t>Row 2</t>
  </si>
  <si>
    <t>Row 3</t>
  </si>
  <si>
    <t>Row 4</t>
  </si>
  <si>
    <t>Row 5</t>
  </si>
  <si>
    <t>Row 6</t>
  </si>
  <si>
    <t>Column 1</t>
  </si>
  <si>
    <t>Column 2</t>
  </si>
  <si>
    <t>Column 3</t>
  </si>
  <si>
    <t>Column 4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</si>
  <si>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</si>
  <si>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</si>
  <si>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</si>
  <si>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</si>
  <si>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</si>
  <si>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</si>
  <si>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</si>
  <si>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</si>
  <si>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</si>
  <si>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</si>
  <si>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</si>
  <si>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</si>
  <si>
    <t>Consistent</t>
  </si>
  <si>
    <t>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</si>
</sst>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Mean RT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Analysis!$B$39</c:f>
              <c:strCache>
                <c:ptCount val="1"/>
                <c:pt idx="0">
                  <c:v>Consistent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Analysis!$C$38:$D$38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Analysis!$C$39:$D$39</c:f>
              <c:numCache>
                <c:formatCode>General</c:formatCode>
                <c:ptCount val="2"/>
                <c:pt idx="0">
                  <c:v>0.59010247401686855</c:v>
                </c:pt>
                <c:pt idx="1">
                  <c:v>0.62637927662352655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8-4E5D-BB5B-5804496BBEA7}"/>
            </c:ext>
          </c:extLst>
        </c:ser>
        <c:ser>
          <c:idx val="1"/>
          <c:order val="1"/>
          <c:tx>
            <c:strRef>
              <c:f>Analysis!$B$40</c:f>
              <c:strCache>
                <c:ptCount val="1"/>
                <c:pt idx="0">
                  <c:v>Inconsistent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Analysis!$C$38:$D$38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Analysis!$C$40:$D$40</c:f>
              <c:numCache>
                <c:formatCode>General</c:formatCode>
                <c:ptCount val="2"/>
                <c:pt idx="0">
                  <c:v>0.77405257949173578</c:v>
                </c:pt>
                <c:pt idx="1">
                  <c:v>0.72323355374909026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8-4E5D-BB5B-5804496BB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207631"/>
        <c:axId val="524201391"/>
      </c:barChart>
      <c:catAx>
        <c:axId val="52420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Prime consistency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01391"/>
        <c:crosses val="autoZero"/>
        <c:auto val="1"/>
        <c:lblAlgn val="ctr"/>
        <c:lblOffset val="100"/>
        <c:noMultiLvlLbl val="0"/>
      </c:catAx>
      <c:valAx>
        <c:axId val="524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RT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0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1196975</xdr:colOff>
      <xdr:row>38</xdr:row>
      <xdr:rowOff>3175</xdr:rowOff>
    </xdr:from>
    <xdr:to>
      <xdr:col>8</xdr:col>
      <xdr:colOff>1368425</xdr:colOff>
      <xdr:row>52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7281B-50DB-64D3-8084-389C0A1D1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1016-5412-487C-BD17-E43383956B3F}">
  <sheetPr filterMode="1"/>
  <dimension ref="A1:M107"/>
  <sheetViews>
    <sheetView topLeftCell="D1" zoomScale="94" workbookViewId="0">
      <selection activeCell="M25" sqref="M25"/>
    </sheetView>
  </sheetViews>
  <sheetFormatPr defaultRowHeight="14.5" x14ac:dyDescent="0.35"/>
  <cols>
    <col min="2" max="2" width="15.36328125" customWidth="1"/>
    <col min="3" max="3" width="14.26953125" customWidth="1"/>
    <col min="4" max="4" width="13.81640625" customWidth="1"/>
    <col min="7" max="7" width="11.90625" customWidth="1"/>
    <col min="8" max="8" width="17.26953125" customWidth="1"/>
    <col min="9" max="9" width="18.26953125" customWidth="1"/>
    <col min="10" max="10" width="28.7265625" style="1" customWidth="1"/>
    <col min="12" max="12" width="21.1796875" customWidth="1"/>
    <col min="13" max="13" width="19.1796875" customWidth="1"/>
  </cols>
  <sheetData>
    <row r="1" spans="1:13" s="7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68</v>
      </c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3"/>
    </row>
    <row r="3" spans="1:13" hidden="1" x14ac:dyDescent="0.35">
      <c r="A3" s="2" t="s">
        <v>9</v>
      </c>
      <c r="B3" s="2" t="s">
        <v>10</v>
      </c>
      <c r="C3" s="2" t="s">
        <v>11</v>
      </c>
      <c r="D3" s="2" t="s">
        <v>12</v>
      </c>
      <c r="E3" s="2">
        <v>0</v>
      </c>
      <c r="F3" s="2">
        <v>0</v>
      </c>
      <c r="G3" s="2">
        <v>0</v>
      </c>
      <c r="H3" s="2" t="s">
        <v>13</v>
      </c>
      <c r="I3" s="2">
        <v>0.56338439999672096</v>
      </c>
      <c r="J3" s="3" t="str">
        <f>IF(OR(AND(B3="masculine",D3="male"), AND(B3="feminine",D3="female")), "consistent",
IF(OR(AND(B3="masculine",D3="female"), AND(B3="feminine",D3="male")), "inconsistent","neutral"))</f>
        <v>neutral</v>
      </c>
    </row>
    <row r="4" spans="1:13" x14ac:dyDescent="0.35">
      <c r="A4" s="2" t="s">
        <v>14</v>
      </c>
      <c r="B4" s="2" t="s">
        <v>15</v>
      </c>
      <c r="C4" s="2" t="s">
        <v>16</v>
      </c>
      <c r="D4" s="2" t="s">
        <v>17</v>
      </c>
      <c r="E4" s="2">
        <v>1</v>
      </c>
      <c r="F4" s="2">
        <v>1</v>
      </c>
      <c r="G4" s="2">
        <v>0</v>
      </c>
      <c r="H4" s="2" t="s">
        <v>18</v>
      </c>
      <c r="I4" s="2">
        <v>0.72086590000253603</v>
      </c>
      <c r="J4" s="3" t="str">
        <f t="shared" ref="J4:J67" si="0">IF(OR(AND(B4="masculine",D4="male"), AND(B4="feminine",D4="female")), "consistent",
IF(OR(AND(B4="masculine",D4="female"), AND(B4="feminine",D4="male")), "inconsistent","neutral"))</f>
        <v>inconsistent</v>
      </c>
    </row>
    <row r="5" spans="1:13" hidden="1" x14ac:dyDescent="0.35">
      <c r="A5" s="2" t="s">
        <v>19</v>
      </c>
      <c r="B5" s="2" t="s">
        <v>10</v>
      </c>
      <c r="C5" s="2" t="s">
        <v>20</v>
      </c>
      <c r="D5" s="2" t="s">
        <v>17</v>
      </c>
      <c r="E5" s="2">
        <v>2</v>
      </c>
      <c r="F5" s="2">
        <v>2</v>
      </c>
      <c r="G5" s="2">
        <v>0</v>
      </c>
      <c r="H5" s="2" t="s">
        <v>18</v>
      </c>
      <c r="I5" s="2">
        <v>0.57408859999850304</v>
      </c>
      <c r="J5" s="3" t="str">
        <f t="shared" si="0"/>
        <v>neutral</v>
      </c>
    </row>
    <row r="6" spans="1:13" x14ac:dyDescent="0.35">
      <c r="A6" s="2" t="s">
        <v>21</v>
      </c>
      <c r="B6" s="2" t="s">
        <v>22</v>
      </c>
      <c r="C6" s="2" t="s">
        <v>20</v>
      </c>
      <c r="D6" s="2" t="s">
        <v>17</v>
      </c>
      <c r="E6" s="2">
        <v>3</v>
      </c>
      <c r="F6" s="2">
        <v>3</v>
      </c>
      <c r="G6" s="2">
        <v>0</v>
      </c>
      <c r="H6" s="2" t="s">
        <v>18</v>
      </c>
      <c r="I6" s="2">
        <v>0.54029829999490098</v>
      </c>
      <c r="J6" s="3" t="str">
        <f t="shared" si="0"/>
        <v>consistent</v>
      </c>
    </row>
    <row r="7" spans="1:13" hidden="1" x14ac:dyDescent="0.35">
      <c r="A7" s="2" t="s">
        <v>23</v>
      </c>
      <c r="B7" s="2" t="s">
        <v>10</v>
      </c>
      <c r="C7" s="2" t="s">
        <v>24</v>
      </c>
      <c r="D7" s="2" t="s">
        <v>12</v>
      </c>
      <c r="E7" s="2">
        <v>4</v>
      </c>
      <c r="F7" s="2">
        <v>4</v>
      </c>
      <c r="G7" s="2">
        <v>0</v>
      </c>
      <c r="H7" s="2" t="s">
        <v>13</v>
      </c>
      <c r="I7" s="2">
        <v>0.54707179999968503</v>
      </c>
      <c r="J7" s="3" t="str">
        <f t="shared" si="0"/>
        <v>neutral</v>
      </c>
    </row>
    <row r="8" spans="1:13" x14ac:dyDescent="0.35">
      <c r="A8" s="2" t="s">
        <v>25</v>
      </c>
      <c r="B8" s="2" t="s">
        <v>22</v>
      </c>
      <c r="C8" s="2" t="s">
        <v>16</v>
      </c>
      <c r="D8" s="2" t="s">
        <v>17</v>
      </c>
      <c r="E8" s="2">
        <v>5</v>
      </c>
      <c r="F8" s="2">
        <v>5</v>
      </c>
      <c r="G8" s="2">
        <v>0</v>
      </c>
      <c r="H8" s="2" t="s">
        <v>18</v>
      </c>
      <c r="I8" s="2">
        <v>0.52850620000390303</v>
      </c>
      <c r="J8" s="3" t="str">
        <f t="shared" si="0"/>
        <v>consistent</v>
      </c>
    </row>
    <row r="9" spans="1:13" x14ac:dyDescent="0.35">
      <c r="A9" s="2" t="s">
        <v>26</v>
      </c>
      <c r="B9" s="2" t="s">
        <v>22</v>
      </c>
      <c r="C9" s="2" t="s">
        <v>27</v>
      </c>
      <c r="D9" s="2" t="s">
        <v>17</v>
      </c>
      <c r="E9" s="2">
        <v>6</v>
      </c>
      <c r="F9" s="2">
        <v>6</v>
      </c>
      <c r="G9" s="2">
        <v>0</v>
      </c>
      <c r="H9" s="2" t="s">
        <v>18</v>
      </c>
      <c r="I9" s="2">
        <v>0.38881660001061302</v>
      </c>
      <c r="J9" s="3" t="str">
        <f t="shared" si="0"/>
        <v>consistent</v>
      </c>
    </row>
    <row r="10" spans="1:13" x14ac:dyDescent="0.35">
      <c r="A10" s="2" t="s">
        <v>28</v>
      </c>
      <c r="B10" s="2" t="s">
        <v>15</v>
      </c>
      <c r="C10" s="2" t="s">
        <v>29</v>
      </c>
      <c r="D10" s="2" t="s">
        <v>12</v>
      </c>
      <c r="E10" s="2">
        <v>7</v>
      </c>
      <c r="F10" s="2">
        <v>7</v>
      </c>
      <c r="G10" s="2">
        <v>0</v>
      </c>
      <c r="H10" s="2" t="s">
        <v>13</v>
      </c>
      <c r="I10" s="2">
        <v>0.63157840000349097</v>
      </c>
      <c r="J10" s="3" t="str">
        <f t="shared" si="0"/>
        <v>consistent</v>
      </c>
    </row>
    <row r="11" spans="1:13" x14ac:dyDescent="0.35">
      <c r="A11" s="2" t="s">
        <v>30</v>
      </c>
      <c r="B11" s="2" t="s">
        <v>22</v>
      </c>
      <c r="C11" s="2" t="s">
        <v>31</v>
      </c>
      <c r="D11" s="2" t="s">
        <v>17</v>
      </c>
      <c r="E11" s="2">
        <v>8</v>
      </c>
      <c r="F11" s="2">
        <v>8</v>
      </c>
      <c r="G11" s="2">
        <v>0</v>
      </c>
      <c r="H11" s="2" t="s">
        <v>18</v>
      </c>
      <c r="I11" s="2">
        <v>0.55463430000236202</v>
      </c>
      <c r="J11" s="3" t="str">
        <f t="shared" si="0"/>
        <v>consistent</v>
      </c>
    </row>
    <row r="12" spans="1:13" x14ac:dyDescent="0.35">
      <c r="A12" s="2" t="s">
        <v>32</v>
      </c>
      <c r="B12" s="2" t="s">
        <v>15</v>
      </c>
      <c r="C12" s="2" t="s">
        <v>33</v>
      </c>
      <c r="D12" s="2" t="s">
        <v>12</v>
      </c>
      <c r="E12" s="2">
        <v>9</v>
      </c>
      <c r="F12" s="2">
        <v>9</v>
      </c>
      <c r="G12" s="2">
        <v>0</v>
      </c>
      <c r="H12" s="2" t="s">
        <v>13</v>
      </c>
      <c r="I12" s="2">
        <v>0.46103469999798102</v>
      </c>
      <c r="J12" s="3" t="str">
        <f t="shared" si="0"/>
        <v>consistent</v>
      </c>
    </row>
    <row r="13" spans="1:13" x14ac:dyDescent="0.35">
      <c r="A13" s="2" t="s">
        <v>34</v>
      </c>
      <c r="B13" s="2" t="s">
        <v>15</v>
      </c>
      <c r="C13" s="2" t="s">
        <v>11</v>
      </c>
      <c r="D13" s="2" t="s">
        <v>12</v>
      </c>
      <c r="E13" s="2">
        <v>10</v>
      </c>
      <c r="F13" s="2">
        <v>10</v>
      </c>
      <c r="G13" s="2">
        <v>0</v>
      </c>
      <c r="H13" s="2" t="s">
        <v>13</v>
      </c>
      <c r="I13" s="2">
        <v>0.436015500003122</v>
      </c>
      <c r="J13" s="3" t="str">
        <f t="shared" si="0"/>
        <v>consistent</v>
      </c>
      <c r="L13" s="2" t="s">
        <v>75</v>
      </c>
      <c r="M13" s="4">
        <f>AVERAGE(I6:I107)</f>
        <v>0.70838624803953099</v>
      </c>
    </row>
    <row r="14" spans="1:13" x14ac:dyDescent="0.35">
      <c r="A14" s="2" t="s">
        <v>25</v>
      </c>
      <c r="B14" s="2" t="s">
        <v>22</v>
      </c>
      <c r="C14" s="2" t="s">
        <v>24</v>
      </c>
      <c r="D14" s="2" t="s">
        <v>12</v>
      </c>
      <c r="E14" s="2">
        <v>11</v>
      </c>
      <c r="F14" s="2">
        <v>11</v>
      </c>
      <c r="G14" s="2">
        <v>0</v>
      </c>
      <c r="H14" s="2" t="s">
        <v>13</v>
      </c>
      <c r="I14" s="2">
        <v>0.71801499999128204</v>
      </c>
      <c r="J14" s="3" t="str">
        <f t="shared" si="0"/>
        <v>inconsistent</v>
      </c>
      <c r="L14" s="2" t="s">
        <v>74</v>
      </c>
      <c r="M14" s="4">
        <f>AVERAGE(I4:I106)</f>
        <v>0.71015200776740806</v>
      </c>
    </row>
    <row r="15" spans="1:13" x14ac:dyDescent="0.35">
      <c r="A15" s="2" t="s">
        <v>35</v>
      </c>
      <c r="B15" s="2" t="s">
        <v>22</v>
      </c>
      <c r="C15" s="2" t="s">
        <v>36</v>
      </c>
      <c r="D15" s="2" t="s">
        <v>17</v>
      </c>
      <c r="E15" s="2">
        <v>12</v>
      </c>
      <c r="F15" s="2">
        <v>12</v>
      </c>
      <c r="G15" s="2">
        <v>0</v>
      </c>
      <c r="H15" s="2" t="s">
        <v>18</v>
      </c>
      <c r="I15" s="2">
        <v>0.37575080001261002</v>
      </c>
      <c r="J15" s="3" t="str">
        <f t="shared" si="0"/>
        <v>consistent</v>
      </c>
    </row>
    <row r="16" spans="1:13" hidden="1" x14ac:dyDescent="0.35">
      <c r="A16" s="2" t="s">
        <v>9</v>
      </c>
      <c r="B16" s="2" t="s">
        <v>10</v>
      </c>
      <c r="C16" s="2" t="s">
        <v>37</v>
      </c>
      <c r="D16" s="2" t="s">
        <v>17</v>
      </c>
      <c r="E16" s="2">
        <v>13</v>
      </c>
      <c r="F16" s="2">
        <v>13</v>
      </c>
      <c r="G16" s="2">
        <v>0</v>
      </c>
      <c r="H16" s="2" t="s">
        <v>18</v>
      </c>
      <c r="I16" s="2">
        <v>0.86712450000050001</v>
      </c>
      <c r="J16" s="3" t="str">
        <f t="shared" si="0"/>
        <v>neutral</v>
      </c>
    </row>
    <row r="17" spans="1:13" hidden="1" x14ac:dyDescent="0.35">
      <c r="A17" s="2" t="s">
        <v>38</v>
      </c>
      <c r="B17" s="2" t="s">
        <v>10</v>
      </c>
      <c r="C17" s="2" t="s">
        <v>39</v>
      </c>
      <c r="D17" s="2" t="s">
        <v>17</v>
      </c>
      <c r="E17" s="2">
        <v>14</v>
      </c>
      <c r="F17" s="2">
        <v>14</v>
      </c>
      <c r="G17" s="2">
        <v>0</v>
      </c>
      <c r="H17" s="2" t="s">
        <v>18</v>
      </c>
      <c r="I17" s="2">
        <v>0.49808409999241099</v>
      </c>
      <c r="J17" s="3" t="str">
        <f t="shared" si="0"/>
        <v>neutral</v>
      </c>
    </row>
    <row r="18" spans="1:13" x14ac:dyDescent="0.35">
      <c r="A18" s="2" t="s">
        <v>40</v>
      </c>
      <c r="B18" s="2" t="s">
        <v>22</v>
      </c>
      <c r="C18" s="2" t="s">
        <v>41</v>
      </c>
      <c r="D18" s="2" t="s">
        <v>12</v>
      </c>
      <c r="E18" s="2">
        <v>15</v>
      </c>
      <c r="F18" s="2">
        <v>15</v>
      </c>
      <c r="G18" s="2">
        <v>0</v>
      </c>
      <c r="H18" s="2" t="s">
        <v>13</v>
      </c>
      <c r="I18" s="2">
        <v>0.74118230000021801</v>
      </c>
      <c r="J18" s="3" t="str">
        <f t="shared" si="0"/>
        <v>inconsistent</v>
      </c>
    </row>
    <row r="19" spans="1:13" x14ac:dyDescent="0.35">
      <c r="A19" s="2" t="s">
        <v>35</v>
      </c>
      <c r="B19" s="2" t="s">
        <v>22</v>
      </c>
      <c r="C19" s="2" t="s">
        <v>42</v>
      </c>
      <c r="D19" s="2" t="s">
        <v>12</v>
      </c>
      <c r="E19" s="2">
        <v>16</v>
      </c>
      <c r="F19" s="2">
        <v>16</v>
      </c>
      <c r="G19" s="2">
        <v>0</v>
      </c>
      <c r="H19" s="2" t="s">
        <v>13</v>
      </c>
      <c r="I19" s="2">
        <v>0.74481809999269899</v>
      </c>
      <c r="J19" s="3" t="str">
        <f t="shared" si="0"/>
        <v>inconsistent</v>
      </c>
      <c r="L19" s="2" t="s">
        <v>76</v>
      </c>
      <c r="M19" s="4">
        <f>AVERAGEIFS(I4:I107, J4:J107, "consistent", D4:D107, "male")</f>
        <v>0.56942190000214954</v>
      </c>
    </row>
    <row r="20" spans="1:13" x14ac:dyDescent="0.35">
      <c r="A20" s="2" t="s">
        <v>43</v>
      </c>
      <c r="B20" s="2" t="s">
        <v>15</v>
      </c>
      <c r="C20" s="2" t="s">
        <v>44</v>
      </c>
      <c r="D20" s="2" t="s">
        <v>12</v>
      </c>
      <c r="E20" s="2">
        <v>17</v>
      </c>
      <c r="F20" s="2">
        <v>17</v>
      </c>
      <c r="G20" s="2">
        <v>0</v>
      </c>
      <c r="H20" s="2" t="s">
        <v>13</v>
      </c>
      <c r="I20" s="2">
        <v>0.49025800000526898</v>
      </c>
      <c r="J20" s="3" t="str">
        <f t="shared" si="0"/>
        <v>consistent</v>
      </c>
      <c r="L20" s="2" t="s">
        <v>77</v>
      </c>
      <c r="M20" s="4">
        <f>AVERAGEIFS(I4:I107, J4:J107, "consistent", D4:D107, "female")</f>
        <v>0.61901031000161255</v>
      </c>
    </row>
    <row r="21" spans="1:13" hidden="1" x14ac:dyDescent="0.35">
      <c r="A21" s="2" t="s">
        <v>45</v>
      </c>
      <c r="B21" s="2" t="s">
        <v>10</v>
      </c>
      <c r="C21" s="2" t="s">
        <v>33</v>
      </c>
      <c r="D21" s="2" t="s">
        <v>12</v>
      </c>
      <c r="E21" s="2">
        <v>18</v>
      </c>
      <c r="F21" s="2">
        <v>18</v>
      </c>
      <c r="G21" s="2">
        <v>0</v>
      </c>
      <c r="H21" s="2" t="s">
        <v>13</v>
      </c>
      <c r="I21" s="2">
        <v>0.49829399998998197</v>
      </c>
      <c r="J21" s="3" t="str">
        <f t="shared" si="0"/>
        <v>neutral</v>
      </c>
    </row>
    <row r="22" spans="1:13" x14ac:dyDescent="0.35">
      <c r="A22" s="2" t="s">
        <v>46</v>
      </c>
      <c r="B22" s="2" t="s">
        <v>15</v>
      </c>
      <c r="C22" s="2" t="s">
        <v>41</v>
      </c>
      <c r="D22" s="2" t="s">
        <v>12</v>
      </c>
      <c r="E22" s="2">
        <v>19</v>
      </c>
      <c r="F22" s="2">
        <v>19</v>
      </c>
      <c r="G22" s="2">
        <v>0</v>
      </c>
      <c r="H22" s="2" t="s">
        <v>13</v>
      </c>
      <c r="I22" s="2">
        <v>0.416674199994304</v>
      </c>
      <c r="J22" s="3" t="str">
        <f t="shared" si="0"/>
        <v>consistent</v>
      </c>
      <c r="L22" s="2"/>
      <c r="M22" s="2"/>
    </row>
    <row r="23" spans="1:13" x14ac:dyDescent="0.35">
      <c r="A23" s="2" t="s">
        <v>28</v>
      </c>
      <c r="B23" s="2" t="s">
        <v>15</v>
      </c>
      <c r="C23" s="2" t="s">
        <v>27</v>
      </c>
      <c r="D23" s="2" t="s">
        <v>17</v>
      </c>
      <c r="E23" s="2">
        <v>20</v>
      </c>
      <c r="F23" s="2">
        <v>20</v>
      </c>
      <c r="G23" s="2">
        <v>0</v>
      </c>
      <c r="H23" s="2" t="s">
        <v>18</v>
      </c>
      <c r="I23" s="2">
        <v>0.81610899999213804</v>
      </c>
      <c r="J23" s="3" t="str">
        <f t="shared" si="0"/>
        <v>inconsistent</v>
      </c>
      <c r="L23" s="2" t="s">
        <v>78</v>
      </c>
      <c r="M23" s="4">
        <f>AVERAGEIFS(I4:I107, J4:J107, "inconsistent", D4:D107, "male")</f>
        <v>1.061649868421801</v>
      </c>
    </row>
    <row r="24" spans="1:13" hidden="1" x14ac:dyDescent="0.35">
      <c r="A24" s="2" t="s">
        <v>38</v>
      </c>
      <c r="B24" s="2" t="s">
        <v>10</v>
      </c>
      <c r="C24" s="2" t="s">
        <v>41</v>
      </c>
      <c r="D24" s="2" t="s">
        <v>12</v>
      </c>
      <c r="E24" s="2">
        <v>21</v>
      </c>
      <c r="F24" s="2">
        <v>21</v>
      </c>
      <c r="G24" s="2">
        <v>0</v>
      </c>
      <c r="H24" s="2" t="s">
        <v>13</v>
      </c>
      <c r="I24" s="2">
        <v>0.65795470000011802</v>
      </c>
      <c r="J24" s="3" t="str">
        <f t="shared" si="0"/>
        <v>neutral</v>
      </c>
    </row>
    <row r="25" spans="1:13" x14ac:dyDescent="0.35">
      <c r="A25" s="2" t="s">
        <v>47</v>
      </c>
      <c r="B25" s="2" t="s">
        <v>22</v>
      </c>
      <c r="C25" s="2" t="s">
        <v>37</v>
      </c>
      <c r="D25" s="2" t="s">
        <v>17</v>
      </c>
      <c r="E25" s="2">
        <v>22</v>
      </c>
      <c r="F25" s="2">
        <v>22</v>
      </c>
      <c r="G25" s="2">
        <v>0</v>
      </c>
      <c r="H25" s="2" t="s">
        <v>18</v>
      </c>
      <c r="I25" s="2">
        <v>0.40337040000304097</v>
      </c>
      <c r="J25" s="3" t="str">
        <f t="shared" si="0"/>
        <v>consistent</v>
      </c>
      <c r="L25" s="2" t="s">
        <v>79</v>
      </c>
      <c r="M25" s="4">
        <f>AVERAGEIFS(I4:I107, J4:J107, "inconsistent", D4:D107, "female")</f>
        <v>0.70174489999857581</v>
      </c>
    </row>
    <row r="26" spans="1:13" x14ac:dyDescent="0.35">
      <c r="A26" s="2" t="s">
        <v>48</v>
      </c>
      <c r="B26" s="2" t="s">
        <v>15</v>
      </c>
      <c r="C26" s="2" t="s">
        <v>49</v>
      </c>
      <c r="D26" s="2" t="s">
        <v>12</v>
      </c>
      <c r="E26" s="2">
        <v>23</v>
      </c>
      <c r="F26" s="2">
        <v>23</v>
      </c>
      <c r="G26" s="2">
        <v>0</v>
      </c>
      <c r="H26" s="2" t="s">
        <v>13</v>
      </c>
      <c r="I26" s="2">
        <v>0.47798690000490701</v>
      </c>
      <c r="J26" s="3" t="str">
        <f t="shared" si="0"/>
        <v>consistent</v>
      </c>
    </row>
    <row r="27" spans="1:13" x14ac:dyDescent="0.35">
      <c r="A27" s="2" t="s">
        <v>46</v>
      </c>
      <c r="B27" s="2" t="s">
        <v>15</v>
      </c>
      <c r="C27" s="2" t="s">
        <v>39</v>
      </c>
      <c r="D27" s="2" t="s">
        <v>17</v>
      </c>
      <c r="E27" s="2">
        <v>24</v>
      </c>
      <c r="F27" s="2">
        <v>24</v>
      </c>
      <c r="G27" s="2">
        <v>0</v>
      </c>
      <c r="H27" s="2" t="s">
        <v>18</v>
      </c>
      <c r="I27" s="2">
        <v>0.51234560000011697</v>
      </c>
      <c r="J27" s="3" t="str">
        <f t="shared" si="0"/>
        <v>inconsistent</v>
      </c>
    </row>
    <row r="28" spans="1:13" x14ac:dyDescent="0.35">
      <c r="A28" s="2" t="s">
        <v>50</v>
      </c>
      <c r="B28" s="2" t="s">
        <v>15</v>
      </c>
      <c r="C28" s="2" t="s">
        <v>20</v>
      </c>
      <c r="D28" s="2" t="s">
        <v>17</v>
      </c>
      <c r="E28" s="2">
        <v>25</v>
      </c>
      <c r="F28" s="2">
        <v>25</v>
      </c>
      <c r="G28" s="2">
        <v>0</v>
      </c>
      <c r="H28" s="2" t="s">
        <v>18</v>
      </c>
      <c r="I28" s="2">
        <v>0.94801469999947496</v>
      </c>
      <c r="J28" s="3" t="str">
        <f t="shared" si="0"/>
        <v>inconsistent</v>
      </c>
    </row>
    <row r="29" spans="1:13" x14ac:dyDescent="0.35">
      <c r="A29" s="2" t="s">
        <v>40</v>
      </c>
      <c r="B29" s="2" t="s">
        <v>22</v>
      </c>
      <c r="C29" s="2" t="s">
        <v>39</v>
      </c>
      <c r="D29" s="2" t="s">
        <v>17</v>
      </c>
      <c r="E29" s="2">
        <v>26</v>
      </c>
      <c r="F29" s="2">
        <v>26</v>
      </c>
      <c r="G29" s="2">
        <v>0</v>
      </c>
      <c r="H29" s="2" t="s">
        <v>18</v>
      </c>
      <c r="I29" s="2">
        <v>0.47273409999615901</v>
      </c>
      <c r="J29" s="3" t="str">
        <f t="shared" si="0"/>
        <v>consistent</v>
      </c>
    </row>
    <row r="30" spans="1:13" hidden="1" x14ac:dyDescent="0.35">
      <c r="A30" s="2" t="s">
        <v>51</v>
      </c>
      <c r="B30" s="2" t="s">
        <v>10</v>
      </c>
      <c r="C30" s="2" t="s">
        <v>49</v>
      </c>
      <c r="D30" s="2" t="s">
        <v>12</v>
      </c>
      <c r="E30" s="2">
        <v>27</v>
      </c>
      <c r="F30" s="2">
        <v>27</v>
      </c>
      <c r="G30" s="2">
        <v>0</v>
      </c>
      <c r="H30" s="2" t="s">
        <v>13</v>
      </c>
      <c r="I30" s="2">
        <v>0.65441730000020404</v>
      </c>
      <c r="J30" s="3" t="str">
        <f t="shared" si="0"/>
        <v>neutral</v>
      </c>
    </row>
    <row r="31" spans="1:13" x14ac:dyDescent="0.35">
      <c r="A31" s="2" t="s">
        <v>52</v>
      </c>
      <c r="B31" s="2" t="s">
        <v>15</v>
      </c>
      <c r="C31" s="2" t="s">
        <v>53</v>
      </c>
      <c r="D31" s="2" t="s">
        <v>17</v>
      </c>
      <c r="E31" s="2">
        <v>28</v>
      </c>
      <c r="F31" s="2">
        <v>28</v>
      </c>
      <c r="G31" s="2">
        <v>0</v>
      </c>
      <c r="H31" s="2" t="s">
        <v>18</v>
      </c>
      <c r="I31" s="2">
        <v>0.512469599998439</v>
      </c>
      <c r="J31" s="3" t="str">
        <f t="shared" si="0"/>
        <v>inconsistent</v>
      </c>
    </row>
    <row r="32" spans="1:13" hidden="1" x14ac:dyDescent="0.35">
      <c r="A32" s="2" t="s">
        <v>54</v>
      </c>
      <c r="B32" s="2" t="s">
        <v>10</v>
      </c>
      <c r="C32" s="2" t="s">
        <v>44</v>
      </c>
      <c r="D32" s="2" t="s">
        <v>12</v>
      </c>
      <c r="E32" s="2">
        <v>29</v>
      </c>
      <c r="F32" s="2">
        <v>29</v>
      </c>
      <c r="G32" s="2">
        <v>0</v>
      </c>
      <c r="H32" s="2" t="s">
        <v>13</v>
      </c>
      <c r="I32" s="2">
        <v>0.93233229999896094</v>
      </c>
      <c r="J32" s="3" t="str">
        <f t="shared" si="0"/>
        <v>neutral</v>
      </c>
    </row>
    <row r="33" spans="1:10" x14ac:dyDescent="0.35">
      <c r="A33" s="2" t="s">
        <v>34</v>
      </c>
      <c r="B33" s="2" t="s">
        <v>15</v>
      </c>
      <c r="C33" s="2" t="s">
        <v>37</v>
      </c>
      <c r="D33" s="2" t="s">
        <v>17</v>
      </c>
      <c r="E33" s="2">
        <v>30</v>
      </c>
      <c r="F33" s="2">
        <v>30</v>
      </c>
      <c r="G33" s="2">
        <v>0</v>
      </c>
      <c r="H33" s="2" t="s">
        <v>18</v>
      </c>
      <c r="I33" s="2">
        <v>0.71760990000620895</v>
      </c>
      <c r="J33" s="3" t="str">
        <f t="shared" si="0"/>
        <v>inconsistent</v>
      </c>
    </row>
    <row r="34" spans="1:10" hidden="1" x14ac:dyDescent="0.35">
      <c r="A34" s="2" t="s">
        <v>45</v>
      </c>
      <c r="B34" s="2" t="s">
        <v>10</v>
      </c>
      <c r="C34" s="2" t="s">
        <v>31</v>
      </c>
      <c r="D34" s="2" t="s">
        <v>17</v>
      </c>
      <c r="E34" s="2">
        <v>31</v>
      </c>
      <c r="F34" s="2">
        <v>31</v>
      </c>
      <c r="G34" s="2">
        <v>0</v>
      </c>
      <c r="H34" s="2" t="s">
        <v>18</v>
      </c>
      <c r="I34" s="2">
        <v>0.81253520000609503</v>
      </c>
      <c r="J34" s="3" t="str">
        <f t="shared" si="0"/>
        <v>neutral</v>
      </c>
    </row>
    <row r="35" spans="1:10" x14ac:dyDescent="0.35">
      <c r="A35" s="2" t="s">
        <v>52</v>
      </c>
      <c r="B35" s="2" t="s">
        <v>15</v>
      </c>
      <c r="C35" s="2" t="s">
        <v>55</v>
      </c>
      <c r="D35" s="2" t="s">
        <v>12</v>
      </c>
      <c r="E35" s="2">
        <v>32</v>
      </c>
      <c r="F35" s="2">
        <v>32</v>
      </c>
      <c r="G35" s="2">
        <v>0</v>
      </c>
      <c r="H35" s="2" t="s">
        <v>13</v>
      </c>
      <c r="I35" s="2">
        <v>0.747103500005323</v>
      </c>
      <c r="J35" s="3" t="str">
        <f t="shared" si="0"/>
        <v>consistent</v>
      </c>
    </row>
    <row r="36" spans="1:10" hidden="1" x14ac:dyDescent="0.35">
      <c r="A36" s="2" t="s">
        <v>51</v>
      </c>
      <c r="B36" s="2" t="s">
        <v>10</v>
      </c>
      <c r="C36" s="2" t="s">
        <v>56</v>
      </c>
      <c r="D36" s="2" t="s">
        <v>17</v>
      </c>
      <c r="E36" s="2">
        <v>33</v>
      </c>
      <c r="F36" s="2">
        <v>33</v>
      </c>
      <c r="G36" s="2">
        <v>0</v>
      </c>
      <c r="H36" s="2" t="s">
        <v>18</v>
      </c>
      <c r="I36" s="2">
        <v>0.46578499999304701</v>
      </c>
      <c r="J36" s="3" t="str">
        <f t="shared" si="0"/>
        <v>neutral</v>
      </c>
    </row>
    <row r="37" spans="1:10" x14ac:dyDescent="0.35">
      <c r="A37" s="2" t="s">
        <v>30</v>
      </c>
      <c r="B37" s="2" t="s">
        <v>22</v>
      </c>
      <c r="C37" s="2" t="s">
        <v>33</v>
      </c>
      <c r="D37" s="2" t="s">
        <v>12</v>
      </c>
      <c r="E37" s="2">
        <v>34</v>
      </c>
      <c r="F37" s="2">
        <v>34</v>
      </c>
      <c r="G37" s="2">
        <v>0</v>
      </c>
      <c r="H37" s="2" t="s">
        <v>13</v>
      </c>
      <c r="I37" s="2">
        <v>0.53177419998973996</v>
      </c>
      <c r="J37" s="3" t="str">
        <f t="shared" si="0"/>
        <v>inconsistent</v>
      </c>
    </row>
    <row r="38" spans="1:10" x14ac:dyDescent="0.35">
      <c r="A38" s="2" t="s">
        <v>57</v>
      </c>
      <c r="B38" s="2" t="s">
        <v>22</v>
      </c>
      <c r="C38" s="2" t="s">
        <v>53</v>
      </c>
      <c r="D38" s="2" t="s">
        <v>17</v>
      </c>
      <c r="E38" s="2">
        <v>35</v>
      </c>
      <c r="F38" s="2">
        <v>35</v>
      </c>
      <c r="G38" s="2">
        <v>0</v>
      </c>
      <c r="H38" s="2" t="s">
        <v>18</v>
      </c>
      <c r="I38" s="2">
        <v>0.75134790000447504</v>
      </c>
      <c r="J38" s="3" t="str">
        <f t="shared" si="0"/>
        <v>consistent</v>
      </c>
    </row>
    <row r="39" spans="1:10" x14ac:dyDescent="0.35">
      <c r="A39" s="2" t="s">
        <v>14</v>
      </c>
      <c r="B39" s="2" t="s">
        <v>15</v>
      </c>
      <c r="C39" s="2" t="s">
        <v>24</v>
      </c>
      <c r="D39" s="2" t="s">
        <v>12</v>
      </c>
      <c r="E39" s="2">
        <v>36</v>
      </c>
      <c r="F39" s="2">
        <v>36</v>
      </c>
      <c r="G39" s="2">
        <v>0</v>
      </c>
      <c r="H39" s="2" t="s">
        <v>13</v>
      </c>
      <c r="I39" s="2">
        <v>0.66793890000553802</v>
      </c>
      <c r="J39" s="3" t="str">
        <f t="shared" si="0"/>
        <v>consistent</v>
      </c>
    </row>
    <row r="40" spans="1:10" hidden="1" x14ac:dyDescent="0.35">
      <c r="A40" s="2" t="s">
        <v>58</v>
      </c>
      <c r="B40" s="2" t="s">
        <v>10</v>
      </c>
      <c r="C40" s="2" t="s">
        <v>36</v>
      </c>
      <c r="D40" s="2" t="s">
        <v>17</v>
      </c>
      <c r="E40" s="2">
        <v>37</v>
      </c>
      <c r="F40" s="2">
        <v>37</v>
      </c>
      <c r="G40" s="2">
        <v>0</v>
      </c>
      <c r="H40" s="2" t="s">
        <v>18</v>
      </c>
      <c r="I40" s="2">
        <v>0.52101959999708902</v>
      </c>
      <c r="J40" s="3" t="str">
        <f t="shared" si="0"/>
        <v>neutral</v>
      </c>
    </row>
    <row r="41" spans="1:10" x14ac:dyDescent="0.35">
      <c r="A41" s="2" t="s">
        <v>26</v>
      </c>
      <c r="B41" s="2" t="s">
        <v>22</v>
      </c>
      <c r="C41" s="2" t="s">
        <v>29</v>
      </c>
      <c r="D41" s="2" t="s">
        <v>12</v>
      </c>
      <c r="E41" s="2">
        <v>38</v>
      </c>
      <c r="F41" s="2">
        <v>38</v>
      </c>
      <c r="G41" s="2">
        <v>0</v>
      </c>
      <c r="H41" s="2" t="s">
        <v>13</v>
      </c>
      <c r="I41" s="2">
        <v>0.74095229999511503</v>
      </c>
      <c r="J41" s="3" t="str">
        <f t="shared" si="0"/>
        <v>inconsistent</v>
      </c>
    </row>
    <row r="42" spans="1:10" x14ac:dyDescent="0.35">
      <c r="A42" s="2" t="s">
        <v>57</v>
      </c>
      <c r="B42" s="2" t="s">
        <v>22</v>
      </c>
      <c r="C42" s="2" t="s">
        <v>55</v>
      </c>
      <c r="D42" s="2" t="s">
        <v>12</v>
      </c>
      <c r="E42" s="2">
        <v>39</v>
      </c>
      <c r="F42" s="2">
        <v>39</v>
      </c>
      <c r="G42" s="2">
        <v>0</v>
      </c>
      <c r="H42" s="2" t="s">
        <v>13</v>
      </c>
      <c r="I42" s="2">
        <v>0.898377699995762</v>
      </c>
      <c r="J42" s="3" t="str">
        <f t="shared" si="0"/>
        <v>inconsistent</v>
      </c>
    </row>
    <row r="43" spans="1:10" x14ac:dyDescent="0.35">
      <c r="A43" s="2" t="s">
        <v>50</v>
      </c>
      <c r="B43" s="2" t="s">
        <v>15</v>
      </c>
      <c r="C43" s="2" t="s">
        <v>59</v>
      </c>
      <c r="D43" s="2" t="s">
        <v>12</v>
      </c>
      <c r="E43" s="2">
        <v>40</v>
      </c>
      <c r="F43" s="2">
        <v>40</v>
      </c>
      <c r="G43" s="2">
        <v>0</v>
      </c>
      <c r="H43" s="2" t="s">
        <v>13</v>
      </c>
      <c r="I43" s="2">
        <v>0.79595359999802895</v>
      </c>
      <c r="J43" s="3" t="str">
        <f t="shared" si="0"/>
        <v>consistent</v>
      </c>
    </row>
    <row r="44" spans="1:10" x14ac:dyDescent="0.35">
      <c r="A44" s="2" t="s">
        <v>43</v>
      </c>
      <c r="B44" s="2" t="s">
        <v>15</v>
      </c>
      <c r="C44" s="2" t="s">
        <v>60</v>
      </c>
      <c r="D44" s="2" t="s">
        <v>17</v>
      </c>
      <c r="E44" s="2">
        <v>41</v>
      </c>
      <c r="F44" s="2">
        <v>41</v>
      </c>
      <c r="G44" s="2">
        <v>0</v>
      </c>
      <c r="H44" s="2" t="s">
        <v>18</v>
      </c>
      <c r="I44" s="2">
        <v>0.75321980001171995</v>
      </c>
      <c r="J44" s="3" t="str">
        <f t="shared" si="0"/>
        <v>inconsistent</v>
      </c>
    </row>
    <row r="45" spans="1:10" hidden="1" x14ac:dyDescent="0.35">
      <c r="A45" s="2" t="s">
        <v>58</v>
      </c>
      <c r="B45" s="2" t="s">
        <v>10</v>
      </c>
      <c r="C45" s="2" t="s">
        <v>42</v>
      </c>
      <c r="D45" s="2" t="s">
        <v>12</v>
      </c>
      <c r="E45" s="2">
        <v>42</v>
      </c>
      <c r="F45" s="2">
        <v>42</v>
      </c>
      <c r="G45" s="2">
        <v>0</v>
      </c>
      <c r="H45" s="2" t="s">
        <v>13</v>
      </c>
      <c r="I45" s="2">
        <v>0.55847810000705</v>
      </c>
      <c r="J45" s="3" t="str">
        <f t="shared" si="0"/>
        <v>neutral</v>
      </c>
    </row>
    <row r="46" spans="1:10" x14ac:dyDescent="0.35">
      <c r="A46" s="2" t="s">
        <v>47</v>
      </c>
      <c r="B46" s="2" t="s">
        <v>22</v>
      </c>
      <c r="C46" s="2" t="s">
        <v>11</v>
      </c>
      <c r="D46" s="2" t="s">
        <v>12</v>
      </c>
      <c r="E46" s="2">
        <v>43</v>
      </c>
      <c r="F46" s="2">
        <v>43</v>
      </c>
      <c r="G46" s="2">
        <v>0</v>
      </c>
      <c r="H46" s="2" t="s">
        <v>13</v>
      </c>
      <c r="I46" s="2">
        <v>0.82081960000505205</v>
      </c>
      <c r="J46" s="3" t="str">
        <f t="shared" si="0"/>
        <v>inconsistent</v>
      </c>
    </row>
    <row r="47" spans="1:10" hidden="1" x14ac:dyDescent="0.35">
      <c r="A47" s="2" t="s">
        <v>54</v>
      </c>
      <c r="B47" s="2" t="s">
        <v>10</v>
      </c>
      <c r="C47" s="2" t="s">
        <v>60</v>
      </c>
      <c r="D47" s="2" t="s">
        <v>17</v>
      </c>
      <c r="E47" s="2">
        <v>44</v>
      </c>
      <c r="F47" s="2">
        <v>44</v>
      </c>
      <c r="G47" s="2">
        <v>0</v>
      </c>
      <c r="H47" s="2" t="s">
        <v>18</v>
      </c>
      <c r="I47" s="2">
        <v>0.94905930000822902</v>
      </c>
      <c r="J47" s="3" t="str">
        <f t="shared" si="0"/>
        <v>neutral</v>
      </c>
    </row>
    <row r="48" spans="1:10" hidden="1" x14ac:dyDescent="0.35">
      <c r="A48" s="2" t="s">
        <v>19</v>
      </c>
      <c r="B48" s="2" t="s">
        <v>10</v>
      </c>
      <c r="C48" s="2" t="s">
        <v>59</v>
      </c>
      <c r="D48" s="2" t="s">
        <v>12</v>
      </c>
      <c r="E48" s="2">
        <v>45</v>
      </c>
      <c r="F48" s="2">
        <v>45</v>
      </c>
      <c r="G48" s="2">
        <v>0</v>
      </c>
      <c r="H48" s="2" t="s">
        <v>13</v>
      </c>
      <c r="I48" s="2">
        <v>0.49672599999757899</v>
      </c>
      <c r="J48" s="3" t="str">
        <f t="shared" si="0"/>
        <v>neutral</v>
      </c>
    </row>
    <row r="49" spans="1:10" x14ac:dyDescent="0.35">
      <c r="A49" s="2" t="s">
        <v>61</v>
      </c>
      <c r="B49" s="2" t="s">
        <v>22</v>
      </c>
      <c r="C49" s="2" t="s">
        <v>44</v>
      </c>
      <c r="D49" s="2" t="s">
        <v>12</v>
      </c>
      <c r="E49" s="2">
        <v>46</v>
      </c>
      <c r="F49" s="2">
        <v>46</v>
      </c>
      <c r="G49" s="2">
        <v>0</v>
      </c>
      <c r="H49" s="2" t="s">
        <v>13</v>
      </c>
      <c r="I49" s="2">
        <v>0.51102399999217596</v>
      </c>
      <c r="J49" s="3" t="str">
        <f t="shared" si="0"/>
        <v>inconsistent</v>
      </c>
    </row>
    <row r="50" spans="1:10" hidden="1" x14ac:dyDescent="0.35">
      <c r="A50" s="2" t="s">
        <v>23</v>
      </c>
      <c r="B50" s="2" t="s">
        <v>10</v>
      </c>
      <c r="C50" s="2" t="s">
        <v>16</v>
      </c>
      <c r="D50" s="2" t="s">
        <v>17</v>
      </c>
      <c r="E50" s="2">
        <v>47</v>
      </c>
      <c r="F50" s="2">
        <v>47</v>
      </c>
      <c r="G50" s="2">
        <v>0</v>
      </c>
      <c r="H50" s="2" t="s">
        <v>18</v>
      </c>
      <c r="I50" s="2">
        <v>0.72745819999545303</v>
      </c>
      <c r="J50" s="3" t="str">
        <f t="shared" si="0"/>
        <v>neutral</v>
      </c>
    </row>
    <row r="51" spans="1:10" x14ac:dyDescent="0.35">
      <c r="A51" s="2" t="s">
        <v>61</v>
      </c>
      <c r="B51" s="2" t="s">
        <v>22</v>
      </c>
      <c r="C51" s="2" t="s">
        <v>60</v>
      </c>
      <c r="D51" s="2" t="s">
        <v>17</v>
      </c>
      <c r="E51" s="2">
        <v>49</v>
      </c>
      <c r="F51" s="2">
        <v>49</v>
      </c>
      <c r="G51" s="2">
        <v>0</v>
      </c>
      <c r="H51" s="2" t="s">
        <v>18</v>
      </c>
      <c r="I51" s="2">
        <v>1.3096153000078601</v>
      </c>
      <c r="J51" s="3" t="str">
        <f t="shared" si="0"/>
        <v>consistent</v>
      </c>
    </row>
    <row r="52" spans="1:10" x14ac:dyDescent="0.35">
      <c r="A52" s="2" t="s">
        <v>21</v>
      </c>
      <c r="B52" s="2" t="s">
        <v>22</v>
      </c>
      <c r="C52" s="2" t="s">
        <v>59</v>
      </c>
      <c r="D52" s="2" t="s">
        <v>12</v>
      </c>
      <c r="E52" s="2">
        <v>50</v>
      </c>
      <c r="F52" s="2">
        <v>50</v>
      </c>
      <c r="G52" s="2">
        <v>0</v>
      </c>
      <c r="H52" s="2" t="s">
        <v>13</v>
      </c>
      <c r="I52" s="2">
        <v>1.1504032000084401</v>
      </c>
      <c r="J52" s="3" t="str">
        <f t="shared" si="0"/>
        <v>inconsistent</v>
      </c>
    </row>
    <row r="53" spans="1:10" x14ac:dyDescent="0.35">
      <c r="A53" s="2" t="s">
        <v>62</v>
      </c>
      <c r="B53" s="2" t="s">
        <v>15</v>
      </c>
      <c r="C53" s="2" t="s">
        <v>42</v>
      </c>
      <c r="D53" s="2" t="s">
        <v>12</v>
      </c>
      <c r="E53" s="2">
        <v>51</v>
      </c>
      <c r="F53" s="2">
        <v>51</v>
      </c>
      <c r="G53" s="2">
        <v>0</v>
      </c>
      <c r="H53" s="2" t="s">
        <v>13</v>
      </c>
      <c r="I53" s="2">
        <v>0.94782560000021399</v>
      </c>
      <c r="J53" s="3" t="str">
        <f t="shared" si="0"/>
        <v>consistent</v>
      </c>
    </row>
    <row r="54" spans="1:10" x14ac:dyDescent="0.35">
      <c r="A54" s="2" t="s">
        <v>48</v>
      </c>
      <c r="B54" s="2" t="s">
        <v>15</v>
      </c>
      <c r="C54" s="2" t="s">
        <v>56</v>
      </c>
      <c r="D54" s="2" t="s">
        <v>17</v>
      </c>
      <c r="E54" s="2">
        <v>52</v>
      </c>
      <c r="F54" s="2">
        <v>52</v>
      </c>
      <c r="G54" s="2">
        <v>0</v>
      </c>
      <c r="H54" s="2" t="s">
        <v>18</v>
      </c>
      <c r="I54" s="2">
        <v>0.68277109999326002</v>
      </c>
      <c r="J54" s="3" t="str">
        <f t="shared" si="0"/>
        <v>inconsistent</v>
      </c>
    </row>
    <row r="55" spans="1:10" x14ac:dyDescent="0.35">
      <c r="A55" s="2" t="s">
        <v>32</v>
      </c>
      <c r="B55" s="2" t="s">
        <v>15</v>
      </c>
      <c r="C55" s="2" t="s">
        <v>31</v>
      </c>
      <c r="D55" s="2" t="s">
        <v>17</v>
      </c>
      <c r="E55" s="2">
        <v>53</v>
      </c>
      <c r="F55" s="2">
        <v>53</v>
      </c>
      <c r="G55" s="2">
        <v>0</v>
      </c>
      <c r="H55" s="2" t="s">
        <v>18</v>
      </c>
      <c r="I55" s="2">
        <v>1.06244329999026</v>
      </c>
      <c r="J55" s="3" t="str">
        <f t="shared" si="0"/>
        <v>inconsistent</v>
      </c>
    </row>
    <row r="56" spans="1:10" x14ac:dyDescent="0.35">
      <c r="A56" s="2" t="s">
        <v>14</v>
      </c>
      <c r="B56" s="2" t="s">
        <v>15</v>
      </c>
      <c r="C56" s="2" t="s">
        <v>16</v>
      </c>
      <c r="D56" s="2" t="s">
        <v>17</v>
      </c>
      <c r="E56" s="2">
        <v>54</v>
      </c>
      <c r="F56" s="2">
        <v>0</v>
      </c>
      <c r="G56" s="2">
        <v>1</v>
      </c>
      <c r="H56" s="2" t="s">
        <v>18</v>
      </c>
      <c r="I56" s="2">
        <v>0.45596989999467002</v>
      </c>
      <c r="J56" s="3" t="str">
        <f t="shared" si="0"/>
        <v>inconsistent</v>
      </c>
    </row>
    <row r="57" spans="1:10" x14ac:dyDescent="0.35">
      <c r="A57" s="2" t="s">
        <v>32</v>
      </c>
      <c r="B57" s="2" t="s">
        <v>15</v>
      </c>
      <c r="C57" s="2" t="s">
        <v>33</v>
      </c>
      <c r="D57" s="2" t="s">
        <v>12</v>
      </c>
      <c r="E57" s="2">
        <v>55</v>
      </c>
      <c r="F57" s="2">
        <v>1</v>
      </c>
      <c r="G57" s="2">
        <v>1</v>
      </c>
      <c r="H57" s="2" t="s">
        <v>13</v>
      </c>
      <c r="I57" s="2">
        <v>0.64534420000563797</v>
      </c>
      <c r="J57" s="3" t="str">
        <f t="shared" si="0"/>
        <v>consistent</v>
      </c>
    </row>
    <row r="58" spans="1:10" hidden="1" x14ac:dyDescent="0.35">
      <c r="A58" s="2" t="s">
        <v>51</v>
      </c>
      <c r="B58" s="2" t="s">
        <v>10</v>
      </c>
      <c r="C58" s="2" t="s">
        <v>49</v>
      </c>
      <c r="D58" s="2" t="s">
        <v>12</v>
      </c>
      <c r="E58" s="2">
        <v>56</v>
      </c>
      <c r="F58" s="2">
        <v>2</v>
      </c>
      <c r="G58" s="2">
        <v>1</v>
      </c>
      <c r="H58" s="2" t="s">
        <v>13</v>
      </c>
      <c r="I58" s="2">
        <v>0.93354489999182899</v>
      </c>
      <c r="J58" s="3" t="str">
        <f t="shared" si="0"/>
        <v>neutral</v>
      </c>
    </row>
    <row r="59" spans="1:10" hidden="1" x14ac:dyDescent="0.35">
      <c r="A59" s="2" t="s">
        <v>19</v>
      </c>
      <c r="B59" s="2" t="s">
        <v>10</v>
      </c>
      <c r="C59" s="2" t="s">
        <v>59</v>
      </c>
      <c r="D59" s="2" t="s">
        <v>12</v>
      </c>
      <c r="E59" s="2">
        <v>57</v>
      </c>
      <c r="F59" s="2">
        <v>3</v>
      </c>
      <c r="G59" s="2">
        <v>1</v>
      </c>
      <c r="H59" s="2" t="s">
        <v>13</v>
      </c>
      <c r="I59" s="2">
        <v>0.51277919999847599</v>
      </c>
      <c r="J59" s="3" t="str">
        <f t="shared" si="0"/>
        <v>neutral</v>
      </c>
    </row>
    <row r="60" spans="1:10" x14ac:dyDescent="0.35">
      <c r="A60" s="2" t="s">
        <v>47</v>
      </c>
      <c r="B60" s="2" t="s">
        <v>22</v>
      </c>
      <c r="C60" s="2" t="s">
        <v>11</v>
      </c>
      <c r="D60" s="2" t="s">
        <v>12</v>
      </c>
      <c r="E60" s="2">
        <v>58</v>
      </c>
      <c r="F60" s="2">
        <v>4</v>
      </c>
      <c r="G60" s="2">
        <v>1</v>
      </c>
      <c r="H60" s="2" t="s">
        <v>13</v>
      </c>
      <c r="I60" s="2">
        <v>0.411479200003668</v>
      </c>
      <c r="J60" s="3" t="str">
        <f t="shared" si="0"/>
        <v>inconsistent</v>
      </c>
    </row>
    <row r="61" spans="1:10" hidden="1" x14ac:dyDescent="0.35">
      <c r="A61" s="2" t="s">
        <v>45</v>
      </c>
      <c r="B61" s="2" t="s">
        <v>10</v>
      </c>
      <c r="C61" s="2" t="s">
        <v>31</v>
      </c>
      <c r="D61" s="2" t="s">
        <v>17</v>
      </c>
      <c r="E61" s="2">
        <v>59</v>
      </c>
      <c r="F61" s="2">
        <v>5</v>
      </c>
      <c r="G61" s="2">
        <v>1</v>
      </c>
      <c r="H61" s="2" t="s">
        <v>18</v>
      </c>
      <c r="I61" s="2">
        <v>0.577508699992904</v>
      </c>
      <c r="J61" s="3" t="str">
        <f t="shared" si="0"/>
        <v>neutral</v>
      </c>
    </row>
    <row r="62" spans="1:10" hidden="1" x14ac:dyDescent="0.35">
      <c r="A62" s="2" t="s">
        <v>54</v>
      </c>
      <c r="B62" s="2" t="s">
        <v>10</v>
      </c>
      <c r="C62" s="2" t="s">
        <v>44</v>
      </c>
      <c r="D62" s="2" t="s">
        <v>12</v>
      </c>
      <c r="E62" s="2">
        <v>60</v>
      </c>
      <c r="F62" s="2">
        <v>6</v>
      </c>
      <c r="G62" s="2">
        <v>1</v>
      </c>
      <c r="H62" s="2" t="s">
        <v>13</v>
      </c>
      <c r="I62" s="2">
        <v>0.55140979999850903</v>
      </c>
      <c r="J62" s="3" t="str">
        <f t="shared" si="0"/>
        <v>neutral</v>
      </c>
    </row>
    <row r="63" spans="1:10" x14ac:dyDescent="0.35">
      <c r="A63" s="2" t="s">
        <v>43</v>
      </c>
      <c r="B63" s="2" t="s">
        <v>15</v>
      </c>
      <c r="C63" s="2" t="s">
        <v>60</v>
      </c>
      <c r="D63" s="2" t="s">
        <v>17</v>
      </c>
      <c r="E63" s="2">
        <v>61</v>
      </c>
      <c r="F63" s="2">
        <v>7</v>
      </c>
      <c r="G63" s="2">
        <v>1</v>
      </c>
      <c r="H63" s="2" t="s">
        <v>18</v>
      </c>
      <c r="I63" s="2">
        <v>0.70086500000616003</v>
      </c>
      <c r="J63" s="3" t="str">
        <f t="shared" si="0"/>
        <v>inconsistent</v>
      </c>
    </row>
    <row r="64" spans="1:10" x14ac:dyDescent="0.35">
      <c r="A64" s="2" t="s">
        <v>46</v>
      </c>
      <c r="B64" s="2" t="s">
        <v>15</v>
      </c>
      <c r="C64" s="2" t="s">
        <v>41</v>
      </c>
      <c r="D64" s="2" t="s">
        <v>12</v>
      </c>
      <c r="E64" s="2">
        <v>62</v>
      </c>
      <c r="F64" s="2">
        <v>8</v>
      </c>
      <c r="G64" s="2">
        <v>1</v>
      </c>
      <c r="H64" s="2" t="s">
        <v>13</v>
      </c>
      <c r="I64" s="2">
        <v>0.51535650000732802</v>
      </c>
      <c r="J64" s="3" t="str">
        <f t="shared" si="0"/>
        <v>consistent</v>
      </c>
    </row>
    <row r="65" spans="1:10" hidden="1" x14ac:dyDescent="0.35">
      <c r="A65" s="2" t="s">
        <v>51</v>
      </c>
      <c r="B65" s="2" t="s">
        <v>10</v>
      </c>
      <c r="C65" s="2" t="s">
        <v>56</v>
      </c>
      <c r="D65" s="2" t="s">
        <v>17</v>
      </c>
      <c r="E65" s="2">
        <v>63</v>
      </c>
      <c r="F65" s="2">
        <v>9</v>
      </c>
      <c r="G65" s="2">
        <v>1</v>
      </c>
      <c r="H65" s="2" t="s">
        <v>18</v>
      </c>
      <c r="I65" s="2">
        <v>0.36659280001185801</v>
      </c>
      <c r="J65" s="3" t="str">
        <f t="shared" si="0"/>
        <v>neutral</v>
      </c>
    </row>
    <row r="66" spans="1:10" x14ac:dyDescent="0.35">
      <c r="A66" s="2" t="s">
        <v>21</v>
      </c>
      <c r="B66" s="2" t="s">
        <v>22</v>
      </c>
      <c r="C66" s="2" t="s">
        <v>59</v>
      </c>
      <c r="D66" s="2" t="s">
        <v>12</v>
      </c>
      <c r="E66" s="2">
        <v>64</v>
      </c>
      <c r="F66" s="2">
        <v>10</v>
      </c>
      <c r="G66" s="2">
        <v>1</v>
      </c>
      <c r="H66" s="2" t="s">
        <v>13</v>
      </c>
      <c r="I66" s="2">
        <v>0.57162899999821004</v>
      </c>
      <c r="J66" s="3" t="str">
        <f t="shared" si="0"/>
        <v>inconsistent</v>
      </c>
    </row>
    <row r="67" spans="1:10" hidden="1" x14ac:dyDescent="0.35">
      <c r="A67" s="2" t="s">
        <v>38</v>
      </c>
      <c r="B67" s="2" t="s">
        <v>10</v>
      </c>
      <c r="C67" s="2" t="s">
        <v>41</v>
      </c>
      <c r="D67" s="2" t="s">
        <v>12</v>
      </c>
      <c r="E67" s="2">
        <v>65</v>
      </c>
      <c r="F67" s="2">
        <v>11</v>
      </c>
      <c r="G67" s="2">
        <v>1</v>
      </c>
      <c r="H67" s="2" t="s">
        <v>13</v>
      </c>
      <c r="I67" s="2">
        <v>1.0062727000040399</v>
      </c>
      <c r="J67" s="3" t="str">
        <f t="shared" si="0"/>
        <v>neutral</v>
      </c>
    </row>
    <row r="68" spans="1:10" x14ac:dyDescent="0.35">
      <c r="A68" s="2" t="s">
        <v>57</v>
      </c>
      <c r="B68" s="2" t="s">
        <v>22</v>
      </c>
      <c r="C68" s="2" t="s">
        <v>53</v>
      </c>
      <c r="D68" s="2" t="s">
        <v>17</v>
      </c>
      <c r="E68" s="2">
        <v>66</v>
      </c>
      <c r="F68" s="2">
        <v>12</v>
      </c>
      <c r="G68" s="2">
        <v>1</v>
      </c>
      <c r="H68" s="2" t="s">
        <v>18</v>
      </c>
      <c r="I68" s="2">
        <v>0.57557770000130404</v>
      </c>
      <c r="J68" s="3" t="str">
        <f t="shared" ref="J68:J107" si="1">IF(OR(AND(B68="masculine",D68="male"), AND(B68="feminine",D68="female")), "consistent",
IF(OR(AND(B68="masculine",D68="female"), AND(B68="feminine",D68="male")), "inconsistent","neutral"))</f>
        <v>consistent</v>
      </c>
    </row>
    <row r="69" spans="1:10" x14ac:dyDescent="0.35">
      <c r="A69" s="2" t="s">
        <v>34</v>
      </c>
      <c r="B69" s="2" t="s">
        <v>15</v>
      </c>
      <c r="C69" s="2" t="s">
        <v>37</v>
      </c>
      <c r="D69" s="2" t="s">
        <v>17</v>
      </c>
      <c r="E69" s="2">
        <v>67</v>
      </c>
      <c r="F69" s="2">
        <v>13</v>
      </c>
      <c r="G69" s="2">
        <v>1</v>
      </c>
      <c r="H69" s="2" t="s">
        <v>18</v>
      </c>
      <c r="I69" s="2">
        <v>8.2479088000109098</v>
      </c>
      <c r="J69" s="3" t="str">
        <f t="shared" si="1"/>
        <v>inconsistent</v>
      </c>
    </row>
    <row r="70" spans="1:10" hidden="1" x14ac:dyDescent="0.35">
      <c r="A70" s="2" t="s">
        <v>9</v>
      </c>
      <c r="B70" s="2" t="s">
        <v>10</v>
      </c>
      <c r="C70" s="2" t="s">
        <v>11</v>
      </c>
      <c r="D70" s="2" t="s">
        <v>12</v>
      </c>
      <c r="E70" s="2">
        <v>68</v>
      </c>
      <c r="F70" s="2">
        <v>14</v>
      </c>
      <c r="G70" s="2">
        <v>1</v>
      </c>
      <c r="H70" s="2" t="s">
        <v>13</v>
      </c>
      <c r="I70" s="2">
        <v>0.49968110000190702</v>
      </c>
      <c r="J70" s="3" t="str">
        <f t="shared" si="1"/>
        <v>neutral</v>
      </c>
    </row>
    <row r="71" spans="1:10" x14ac:dyDescent="0.35">
      <c r="A71" s="2" t="s">
        <v>30</v>
      </c>
      <c r="B71" s="2" t="s">
        <v>22</v>
      </c>
      <c r="C71" s="2" t="s">
        <v>31</v>
      </c>
      <c r="D71" s="2" t="s">
        <v>17</v>
      </c>
      <c r="E71" s="2">
        <v>69</v>
      </c>
      <c r="F71" s="2">
        <v>15</v>
      </c>
      <c r="G71" s="2">
        <v>1</v>
      </c>
      <c r="H71" s="2" t="s">
        <v>18</v>
      </c>
      <c r="I71" s="2">
        <v>0.467907300000661</v>
      </c>
      <c r="J71" s="3" t="str">
        <f t="shared" si="1"/>
        <v>consistent</v>
      </c>
    </row>
    <row r="72" spans="1:10" hidden="1" x14ac:dyDescent="0.35">
      <c r="A72" s="2" t="s">
        <v>23</v>
      </c>
      <c r="B72" s="2" t="s">
        <v>10</v>
      </c>
      <c r="C72" s="2" t="s">
        <v>16</v>
      </c>
      <c r="D72" s="2" t="s">
        <v>17</v>
      </c>
      <c r="E72" s="2">
        <v>70</v>
      </c>
      <c r="F72" s="2">
        <v>16</v>
      </c>
      <c r="G72" s="2">
        <v>1</v>
      </c>
      <c r="H72" s="2" t="s">
        <v>18</v>
      </c>
      <c r="I72" s="2">
        <v>0.52586840000003499</v>
      </c>
      <c r="J72" s="3" t="str">
        <f t="shared" si="1"/>
        <v>neutral</v>
      </c>
    </row>
    <row r="73" spans="1:10" x14ac:dyDescent="0.35">
      <c r="A73" s="2" t="s">
        <v>28</v>
      </c>
      <c r="B73" s="2" t="s">
        <v>15</v>
      </c>
      <c r="C73" s="2" t="s">
        <v>27</v>
      </c>
      <c r="D73" s="2" t="s">
        <v>17</v>
      </c>
      <c r="E73" s="2">
        <v>71</v>
      </c>
      <c r="F73" s="2">
        <v>17</v>
      </c>
      <c r="G73" s="2">
        <v>1</v>
      </c>
      <c r="H73" s="2" t="s">
        <v>18</v>
      </c>
      <c r="I73" s="2">
        <v>0.70856460000504695</v>
      </c>
      <c r="J73" s="3" t="str">
        <f t="shared" si="1"/>
        <v>inconsistent</v>
      </c>
    </row>
    <row r="74" spans="1:10" x14ac:dyDescent="0.35">
      <c r="A74" s="2" t="s">
        <v>61</v>
      </c>
      <c r="B74" s="2" t="s">
        <v>22</v>
      </c>
      <c r="C74" s="2" t="s">
        <v>60</v>
      </c>
      <c r="D74" s="2" t="s">
        <v>17</v>
      </c>
      <c r="E74" s="2">
        <v>72</v>
      </c>
      <c r="F74" s="2">
        <v>18</v>
      </c>
      <c r="G74" s="2">
        <v>1</v>
      </c>
      <c r="H74" s="2" t="s">
        <v>18</v>
      </c>
      <c r="I74" s="2">
        <v>0.50760890000674397</v>
      </c>
      <c r="J74" s="3" t="str">
        <f t="shared" si="1"/>
        <v>consistent</v>
      </c>
    </row>
    <row r="75" spans="1:10" hidden="1" x14ac:dyDescent="0.35">
      <c r="A75" s="2" t="s">
        <v>54</v>
      </c>
      <c r="B75" s="2" t="s">
        <v>10</v>
      </c>
      <c r="C75" s="2" t="s">
        <v>60</v>
      </c>
      <c r="D75" s="2" t="s">
        <v>17</v>
      </c>
      <c r="E75" s="2">
        <v>73</v>
      </c>
      <c r="F75" s="2">
        <v>19</v>
      </c>
      <c r="G75" s="2">
        <v>1</v>
      </c>
      <c r="H75" s="2" t="s">
        <v>18</v>
      </c>
      <c r="I75" s="2">
        <v>0.41556349999154901</v>
      </c>
      <c r="J75" s="3" t="str">
        <f t="shared" si="1"/>
        <v>neutral</v>
      </c>
    </row>
    <row r="76" spans="1:10" x14ac:dyDescent="0.35">
      <c r="A76" s="2" t="s">
        <v>50</v>
      </c>
      <c r="B76" s="2" t="s">
        <v>15</v>
      </c>
      <c r="C76" s="2" t="s">
        <v>59</v>
      </c>
      <c r="D76" s="2" t="s">
        <v>12</v>
      </c>
      <c r="E76" s="2">
        <v>74</v>
      </c>
      <c r="F76" s="2">
        <v>20</v>
      </c>
      <c r="G76" s="2">
        <v>1</v>
      </c>
      <c r="H76" s="2" t="s">
        <v>13</v>
      </c>
      <c r="I76" s="2">
        <v>0.71453749999636695</v>
      </c>
      <c r="J76" s="3" t="str">
        <f t="shared" si="1"/>
        <v>consistent</v>
      </c>
    </row>
    <row r="77" spans="1:10" x14ac:dyDescent="0.35">
      <c r="A77" s="2" t="s">
        <v>52</v>
      </c>
      <c r="B77" s="2" t="s">
        <v>15</v>
      </c>
      <c r="C77" s="2" t="s">
        <v>55</v>
      </c>
      <c r="D77" s="2" t="s">
        <v>12</v>
      </c>
      <c r="E77" s="2">
        <v>75</v>
      </c>
      <c r="F77" s="2">
        <v>21</v>
      </c>
      <c r="G77" s="2">
        <v>1</v>
      </c>
      <c r="H77" s="2" t="s">
        <v>13</v>
      </c>
      <c r="I77" s="2">
        <v>0.45096869999542799</v>
      </c>
      <c r="J77" s="3" t="str">
        <f t="shared" si="1"/>
        <v>consistent</v>
      </c>
    </row>
    <row r="78" spans="1:10" hidden="1" x14ac:dyDescent="0.35">
      <c r="A78" s="2" t="s">
        <v>9</v>
      </c>
      <c r="B78" s="2" t="s">
        <v>10</v>
      </c>
      <c r="C78" s="2" t="s">
        <v>37</v>
      </c>
      <c r="D78" s="2" t="s">
        <v>17</v>
      </c>
      <c r="E78" s="2">
        <v>76</v>
      </c>
      <c r="F78" s="2">
        <v>22</v>
      </c>
      <c r="G78" s="2">
        <v>1</v>
      </c>
      <c r="H78" s="2" t="s">
        <v>18</v>
      </c>
      <c r="I78" s="2">
        <v>0.71661889999813799</v>
      </c>
      <c r="J78" s="3" t="str">
        <f t="shared" si="1"/>
        <v>neutral</v>
      </c>
    </row>
    <row r="79" spans="1:10" x14ac:dyDescent="0.35">
      <c r="A79" s="2" t="s">
        <v>40</v>
      </c>
      <c r="B79" s="2" t="s">
        <v>22</v>
      </c>
      <c r="C79" s="2" t="s">
        <v>39</v>
      </c>
      <c r="D79" s="2" t="s">
        <v>17</v>
      </c>
      <c r="E79" s="2">
        <v>77</v>
      </c>
      <c r="F79" s="2">
        <v>23</v>
      </c>
      <c r="G79" s="2">
        <v>1</v>
      </c>
      <c r="H79" s="2" t="s">
        <v>18</v>
      </c>
      <c r="I79" s="2">
        <v>0.46503289999964098</v>
      </c>
      <c r="J79" s="3" t="str">
        <f t="shared" si="1"/>
        <v>consistent</v>
      </c>
    </row>
    <row r="80" spans="1:10" x14ac:dyDescent="0.35">
      <c r="A80" s="2" t="s">
        <v>50</v>
      </c>
      <c r="B80" s="2" t="s">
        <v>15</v>
      </c>
      <c r="C80" s="2" t="s">
        <v>20</v>
      </c>
      <c r="D80" s="2" t="s">
        <v>17</v>
      </c>
      <c r="E80" s="2">
        <v>78</v>
      </c>
      <c r="F80" s="2">
        <v>24</v>
      </c>
      <c r="G80" s="2">
        <v>1</v>
      </c>
      <c r="H80" s="2" t="s">
        <v>18</v>
      </c>
      <c r="I80" s="2">
        <v>0.51249339999048904</v>
      </c>
      <c r="J80" s="3" t="str">
        <f t="shared" si="1"/>
        <v>inconsistent</v>
      </c>
    </row>
    <row r="81" spans="1:10" x14ac:dyDescent="0.35">
      <c r="A81" s="2" t="s">
        <v>35</v>
      </c>
      <c r="B81" s="2" t="s">
        <v>22</v>
      </c>
      <c r="C81" s="2" t="s">
        <v>42</v>
      </c>
      <c r="D81" s="2" t="s">
        <v>12</v>
      </c>
      <c r="E81" s="2">
        <v>79</v>
      </c>
      <c r="F81" s="2">
        <v>25</v>
      </c>
      <c r="G81" s="2">
        <v>1</v>
      </c>
      <c r="H81" s="2" t="s">
        <v>13</v>
      </c>
      <c r="I81" s="2">
        <v>0.76076920000195902</v>
      </c>
      <c r="J81" s="3" t="str">
        <f t="shared" si="1"/>
        <v>inconsistent</v>
      </c>
    </row>
    <row r="82" spans="1:10" hidden="1" x14ac:dyDescent="0.35">
      <c r="A82" s="2" t="s">
        <v>38</v>
      </c>
      <c r="B82" s="2" t="s">
        <v>10</v>
      </c>
      <c r="C82" s="2" t="s">
        <v>39</v>
      </c>
      <c r="D82" s="2" t="s">
        <v>17</v>
      </c>
      <c r="E82" s="2">
        <v>80</v>
      </c>
      <c r="F82" s="2">
        <v>26</v>
      </c>
      <c r="G82" s="2">
        <v>1</v>
      </c>
      <c r="H82" s="2" t="s">
        <v>18</v>
      </c>
      <c r="I82" s="2">
        <v>0.43734410000615698</v>
      </c>
      <c r="J82" s="3" t="str">
        <f t="shared" si="1"/>
        <v>neutral</v>
      </c>
    </row>
    <row r="83" spans="1:10" x14ac:dyDescent="0.35">
      <c r="A83" s="2" t="s">
        <v>35</v>
      </c>
      <c r="B83" s="2" t="s">
        <v>22</v>
      </c>
      <c r="C83" s="2" t="s">
        <v>36</v>
      </c>
      <c r="D83" s="2" t="s">
        <v>17</v>
      </c>
      <c r="E83" s="2">
        <v>81</v>
      </c>
      <c r="F83" s="2">
        <v>27</v>
      </c>
      <c r="G83" s="2">
        <v>1</v>
      </c>
      <c r="H83" s="2" t="s">
        <v>18</v>
      </c>
      <c r="I83" s="2">
        <v>0.52514119999250397</v>
      </c>
      <c r="J83" s="3" t="str">
        <f t="shared" si="1"/>
        <v>consistent</v>
      </c>
    </row>
    <row r="84" spans="1:10" hidden="1" x14ac:dyDescent="0.35">
      <c r="A84" s="2" t="s">
        <v>58</v>
      </c>
      <c r="B84" s="2" t="s">
        <v>10</v>
      </c>
      <c r="C84" s="2" t="s">
        <v>42</v>
      </c>
      <c r="D84" s="2" t="s">
        <v>12</v>
      </c>
      <c r="E84" s="2">
        <v>82</v>
      </c>
      <c r="F84" s="2">
        <v>28</v>
      </c>
      <c r="G84" s="2">
        <v>1</v>
      </c>
      <c r="H84" s="2" t="s">
        <v>13</v>
      </c>
      <c r="I84" s="2">
        <v>0.51984059999813303</v>
      </c>
      <c r="J84" s="3" t="str">
        <f t="shared" si="1"/>
        <v>neutral</v>
      </c>
    </row>
    <row r="85" spans="1:10" x14ac:dyDescent="0.35">
      <c r="A85" s="2" t="s">
        <v>47</v>
      </c>
      <c r="B85" s="2" t="s">
        <v>22</v>
      </c>
      <c r="C85" s="2" t="s">
        <v>37</v>
      </c>
      <c r="D85" s="2" t="s">
        <v>17</v>
      </c>
      <c r="E85" s="2">
        <v>83</v>
      </c>
      <c r="F85" s="2">
        <v>29</v>
      </c>
      <c r="G85" s="2">
        <v>1</v>
      </c>
      <c r="H85" s="2" t="s">
        <v>18</v>
      </c>
      <c r="I85" s="2">
        <v>0.52723540000442803</v>
      </c>
      <c r="J85" s="3" t="str">
        <f t="shared" si="1"/>
        <v>consistent</v>
      </c>
    </row>
    <row r="86" spans="1:10" x14ac:dyDescent="0.35">
      <c r="A86" s="2" t="s">
        <v>32</v>
      </c>
      <c r="B86" s="2" t="s">
        <v>15</v>
      </c>
      <c r="C86" s="2" t="s">
        <v>31</v>
      </c>
      <c r="D86" s="2" t="s">
        <v>17</v>
      </c>
      <c r="E86" s="2">
        <v>84</v>
      </c>
      <c r="F86" s="2">
        <v>30</v>
      </c>
      <c r="G86" s="2">
        <v>1</v>
      </c>
      <c r="H86" s="2" t="s">
        <v>18</v>
      </c>
      <c r="I86" s="2">
        <v>0.43286410000291597</v>
      </c>
      <c r="J86" s="3" t="str">
        <f t="shared" si="1"/>
        <v>inconsistent</v>
      </c>
    </row>
    <row r="87" spans="1:10" x14ac:dyDescent="0.35">
      <c r="A87" s="2" t="s">
        <v>28</v>
      </c>
      <c r="B87" s="2" t="s">
        <v>15</v>
      </c>
      <c r="C87" s="2" t="s">
        <v>29</v>
      </c>
      <c r="D87" s="2" t="s">
        <v>12</v>
      </c>
      <c r="E87" s="2">
        <v>85</v>
      </c>
      <c r="F87" s="2">
        <v>31</v>
      </c>
      <c r="G87" s="2">
        <v>1</v>
      </c>
      <c r="H87" s="2" t="s">
        <v>13</v>
      </c>
      <c r="I87" s="2">
        <v>0.64941340000950698</v>
      </c>
      <c r="J87" s="3" t="str">
        <f t="shared" si="1"/>
        <v>consistent</v>
      </c>
    </row>
    <row r="88" spans="1:10" x14ac:dyDescent="0.35">
      <c r="A88" s="2" t="s">
        <v>48</v>
      </c>
      <c r="B88" s="2" t="s">
        <v>15</v>
      </c>
      <c r="C88" s="2" t="s">
        <v>49</v>
      </c>
      <c r="D88" s="2" t="s">
        <v>12</v>
      </c>
      <c r="E88" s="2">
        <v>86</v>
      </c>
      <c r="F88" s="2">
        <v>32</v>
      </c>
      <c r="G88" s="2">
        <v>1</v>
      </c>
      <c r="H88" s="2" t="s">
        <v>13</v>
      </c>
      <c r="I88" s="2">
        <v>0.57752130000153501</v>
      </c>
      <c r="J88" s="3" t="str">
        <f t="shared" si="1"/>
        <v>consistent</v>
      </c>
    </row>
    <row r="89" spans="1:10" x14ac:dyDescent="0.35">
      <c r="A89" s="2" t="s">
        <v>57</v>
      </c>
      <c r="B89" s="2" t="s">
        <v>22</v>
      </c>
      <c r="C89" s="2" t="s">
        <v>55</v>
      </c>
      <c r="D89" s="2" t="s">
        <v>12</v>
      </c>
      <c r="E89" s="2">
        <v>87</v>
      </c>
      <c r="F89" s="2">
        <v>33</v>
      </c>
      <c r="G89" s="2">
        <v>1</v>
      </c>
      <c r="H89" s="2" t="s">
        <v>13</v>
      </c>
      <c r="I89" s="2">
        <v>0.48937299998942702</v>
      </c>
      <c r="J89" s="3" t="str">
        <f t="shared" si="1"/>
        <v>inconsistent</v>
      </c>
    </row>
    <row r="90" spans="1:10" x14ac:dyDescent="0.35">
      <c r="A90" s="2" t="s">
        <v>25</v>
      </c>
      <c r="B90" s="2" t="s">
        <v>22</v>
      </c>
      <c r="C90" s="2" t="s">
        <v>16</v>
      </c>
      <c r="D90" s="2" t="s">
        <v>17</v>
      </c>
      <c r="E90" s="2">
        <v>88</v>
      </c>
      <c r="F90" s="2">
        <v>34</v>
      </c>
      <c r="G90" s="2">
        <v>1</v>
      </c>
      <c r="H90" s="2" t="s">
        <v>18</v>
      </c>
      <c r="I90" s="2">
        <v>0.84662570001091797</v>
      </c>
      <c r="J90" s="3" t="str">
        <f t="shared" si="1"/>
        <v>consistent</v>
      </c>
    </row>
    <row r="91" spans="1:10" x14ac:dyDescent="0.35">
      <c r="A91" s="2" t="s">
        <v>26</v>
      </c>
      <c r="B91" s="2" t="s">
        <v>22</v>
      </c>
      <c r="C91" s="2" t="s">
        <v>29</v>
      </c>
      <c r="D91" s="2" t="s">
        <v>12</v>
      </c>
      <c r="E91" s="2">
        <v>89</v>
      </c>
      <c r="F91" s="2">
        <v>35</v>
      </c>
      <c r="G91" s="2">
        <v>1</v>
      </c>
      <c r="H91" s="2" t="s">
        <v>13</v>
      </c>
      <c r="I91" s="2">
        <v>1.09193520000553</v>
      </c>
      <c r="J91" s="3" t="str">
        <f t="shared" si="1"/>
        <v>inconsistent</v>
      </c>
    </row>
    <row r="92" spans="1:10" x14ac:dyDescent="0.35">
      <c r="A92" s="2" t="s">
        <v>26</v>
      </c>
      <c r="B92" s="2" t="s">
        <v>22</v>
      </c>
      <c r="C92" s="2" t="s">
        <v>27</v>
      </c>
      <c r="D92" s="2" t="s">
        <v>17</v>
      </c>
      <c r="E92" s="2">
        <v>90</v>
      </c>
      <c r="F92" s="2">
        <v>36</v>
      </c>
      <c r="G92" s="2">
        <v>1</v>
      </c>
      <c r="H92" s="2" t="s">
        <v>18</v>
      </c>
      <c r="I92" s="2">
        <v>0.44844779999402801</v>
      </c>
      <c r="J92" s="3" t="str">
        <f t="shared" si="1"/>
        <v>consistent</v>
      </c>
    </row>
    <row r="93" spans="1:10" x14ac:dyDescent="0.35">
      <c r="A93" s="2" t="s">
        <v>34</v>
      </c>
      <c r="B93" s="2" t="s">
        <v>15</v>
      </c>
      <c r="C93" s="2" t="s">
        <v>11</v>
      </c>
      <c r="D93" s="2" t="s">
        <v>12</v>
      </c>
      <c r="E93" s="2">
        <v>91</v>
      </c>
      <c r="F93" s="2">
        <v>37</v>
      </c>
      <c r="G93" s="2">
        <v>1</v>
      </c>
      <c r="H93" s="2" t="s">
        <v>13</v>
      </c>
      <c r="I93" s="2">
        <v>0.59826150001026601</v>
      </c>
      <c r="J93" s="3" t="str">
        <f t="shared" si="1"/>
        <v>consistent</v>
      </c>
    </row>
    <row r="94" spans="1:10" x14ac:dyDescent="0.35">
      <c r="A94" s="2" t="s">
        <v>62</v>
      </c>
      <c r="B94" s="2" t="s">
        <v>15</v>
      </c>
      <c r="C94" s="2" t="s">
        <v>36</v>
      </c>
      <c r="D94" s="2" t="s">
        <v>17</v>
      </c>
      <c r="E94" s="2">
        <v>92</v>
      </c>
      <c r="F94" s="2">
        <v>38</v>
      </c>
      <c r="G94" s="2">
        <v>1</v>
      </c>
      <c r="H94" s="2" t="s">
        <v>18</v>
      </c>
      <c r="I94" s="2">
        <v>0.38538829999743002</v>
      </c>
      <c r="J94" s="3" t="str">
        <f t="shared" si="1"/>
        <v>inconsistent</v>
      </c>
    </row>
    <row r="95" spans="1:10" x14ac:dyDescent="0.35">
      <c r="A95" s="2" t="s">
        <v>40</v>
      </c>
      <c r="B95" s="2" t="s">
        <v>22</v>
      </c>
      <c r="C95" s="2" t="s">
        <v>41</v>
      </c>
      <c r="D95" s="2" t="s">
        <v>12</v>
      </c>
      <c r="E95" s="2">
        <v>93</v>
      </c>
      <c r="F95" s="2">
        <v>39</v>
      </c>
      <c r="G95" s="2">
        <v>1</v>
      </c>
      <c r="H95" s="2" t="s">
        <v>13</v>
      </c>
      <c r="I95" s="2">
        <v>0.70769030001247302</v>
      </c>
      <c r="J95" s="3" t="str">
        <f t="shared" si="1"/>
        <v>inconsistent</v>
      </c>
    </row>
    <row r="96" spans="1:10" x14ac:dyDescent="0.35">
      <c r="A96" s="2" t="s">
        <v>43</v>
      </c>
      <c r="B96" s="2" t="s">
        <v>15</v>
      </c>
      <c r="C96" s="2" t="s">
        <v>44</v>
      </c>
      <c r="D96" s="2" t="s">
        <v>12</v>
      </c>
      <c r="E96" s="2">
        <v>94</v>
      </c>
      <c r="F96" s="2">
        <v>40</v>
      </c>
      <c r="G96" s="2">
        <v>1</v>
      </c>
      <c r="H96" s="2" t="s">
        <v>13</v>
      </c>
      <c r="I96" s="2">
        <v>0.69294459999946401</v>
      </c>
      <c r="J96" s="3" t="str">
        <f t="shared" si="1"/>
        <v>consistent</v>
      </c>
    </row>
    <row r="97" spans="1:10" x14ac:dyDescent="0.35">
      <c r="A97" s="2" t="s">
        <v>14</v>
      </c>
      <c r="B97" s="2" t="s">
        <v>15</v>
      </c>
      <c r="C97" s="2" t="s">
        <v>24</v>
      </c>
      <c r="D97" s="2" t="s">
        <v>12</v>
      </c>
      <c r="E97" s="2">
        <v>96</v>
      </c>
      <c r="F97" s="2">
        <v>42</v>
      </c>
      <c r="G97" s="2">
        <v>1</v>
      </c>
      <c r="H97" s="2" t="s">
        <v>13</v>
      </c>
      <c r="I97" s="2">
        <v>1.0587941999983701</v>
      </c>
      <c r="J97" s="3" t="str">
        <f t="shared" si="1"/>
        <v>consistent</v>
      </c>
    </row>
    <row r="98" spans="1:10" x14ac:dyDescent="0.35">
      <c r="A98" s="2" t="s">
        <v>21</v>
      </c>
      <c r="B98" s="2" t="s">
        <v>22</v>
      </c>
      <c r="C98" s="2" t="s">
        <v>20</v>
      </c>
      <c r="D98" s="2" t="s">
        <v>17</v>
      </c>
      <c r="E98" s="2">
        <v>97</v>
      </c>
      <c r="F98" s="2">
        <v>43</v>
      </c>
      <c r="G98" s="2">
        <v>1</v>
      </c>
      <c r="H98" s="2" t="s">
        <v>18</v>
      </c>
      <c r="I98" s="2">
        <v>0.56094339999253795</v>
      </c>
      <c r="J98" s="3" t="str">
        <f t="shared" si="1"/>
        <v>consistent</v>
      </c>
    </row>
    <row r="99" spans="1:10" hidden="1" x14ac:dyDescent="0.35">
      <c r="A99" s="2" t="s">
        <v>23</v>
      </c>
      <c r="B99" s="2" t="s">
        <v>10</v>
      </c>
      <c r="C99" s="2" t="s">
        <v>24</v>
      </c>
      <c r="D99" s="2" t="s">
        <v>12</v>
      </c>
      <c r="E99" s="2">
        <v>98</v>
      </c>
      <c r="F99" s="2">
        <v>44</v>
      </c>
      <c r="G99" s="2">
        <v>1</v>
      </c>
      <c r="H99" s="2" t="s">
        <v>13</v>
      </c>
      <c r="I99" s="2">
        <v>0.72056580000207704</v>
      </c>
      <c r="J99" s="3" t="str">
        <f t="shared" si="1"/>
        <v>neutral</v>
      </c>
    </row>
    <row r="100" spans="1:10" hidden="1" x14ac:dyDescent="0.35">
      <c r="A100" s="2" t="s">
        <v>58</v>
      </c>
      <c r="B100" s="2" t="s">
        <v>10</v>
      </c>
      <c r="C100" s="2" t="s">
        <v>36</v>
      </c>
      <c r="D100" s="2" t="s">
        <v>17</v>
      </c>
      <c r="E100" s="2">
        <v>100</v>
      </c>
      <c r="F100" s="2">
        <v>46</v>
      </c>
      <c r="G100" s="2">
        <v>1</v>
      </c>
      <c r="H100" s="2" t="s">
        <v>18</v>
      </c>
      <c r="I100" s="2">
        <v>0.61810619999596295</v>
      </c>
      <c r="J100" s="3" t="str">
        <f t="shared" si="1"/>
        <v>neutral</v>
      </c>
    </row>
    <row r="101" spans="1:10" x14ac:dyDescent="0.35">
      <c r="A101" s="2" t="s">
        <v>48</v>
      </c>
      <c r="B101" s="2" t="s">
        <v>15</v>
      </c>
      <c r="C101" s="2" t="s">
        <v>56</v>
      </c>
      <c r="D101" s="2" t="s">
        <v>17</v>
      </c>
      <c r="E101" s="2">
        <v>101</v>
      </c>
      <c r="F101" s="2">
        <v>47</v>
      </c>
      <c r="G101" s="2">
        <v>1</v>
      </c>
      <c r="H101" s="2" t="s">
        <v>18</v>
      </c>
      <c r="I101" s="2">
        <v>0.56869430000369903</v>
      </c>
      <c r="J101" s="3" t="str">
        <f t="shared" si="1"/>
        <v>inconsistent</v>
      </c>
    </row>
    <row r="102" spans="1:10" x14ac:dyDescent="0.35">
      <c r="A102" s="2" t="s">
        <v>30</v>
      </c>
      <c r="B102" s="2" t="s">
        <v>22</v>
      </c>
      <c r="C102" s="2" t="s">
        <v>33</v>
      </c>
      <c r="D102" s="2" t="s">
        <v>12</v>
      </c>
      <c r="E102" s="2">
        <v>102</v>
      </c>
      <c r="F102" s="2">
        <v>48</v>
      </c>
      <c r="G102" s="2">
        <v>1</v>
      </c>
      <c r="H102" s="2" t="s">
        <v>13</v>
      </c>
      <c r="I102" s="2">
        <v>0.49278319999575598</v>
      </c>
      <c r="J102" s="3" t="str">
        <f t="shared" si="1"/>
        <v>inconsistent</v>
      </c>
    </row>
    <row r="103" spans="1:10" x14ac:dyDescent="0.35">
      <c r="A103" s="2" t="s">
        <v>46</v>
      </c>
      <c r="B103" s="2" t="s">
        <v>15</v>
      </c>
      <c r="C103" s="2" t="s">
        <v>39</v>
      </c>
      <c r="D103" s="2" t="s">
        <v>17</v>
      </c>
      <c r="E103" s="2">
        <v>103</v>
      </c>
      <c r="F103" s="2">
        <v>49</v>
      </c>
      <c r="G103" s="2">
        <v>1</v>
      </c>
      <c r="H103" s="2" t="s">
        <v>18</v>
      </c>
      <c r="I103" s="2">
        <v>0.79428880001069002</v>
      </c>
      <c r="J103" s="3" t="str">
        <f t="shared" si="1"/>
        <v>inconsistent</v>
      </c>
    </row>
    <row r="104" spans="1:10" hidden="1" x14ac:dyDescent="0.35">
      <c r="A104" s="2" t="s">
        <v>45</v>
      </c>
      <c r="B104" s="2" t="s">
        <v>10</v>
      </c>
      <c r="C104" s="2" t="s">
        <v>33</v>
      </c>
      <c r="D104" s="2" t="s">
        <v>12</v>
      </c>
      <c r="E104" s="2">
        <v>104</v>
      </c>
      <c r="F104" s="2">
        <v>50</v>
      </c>
      <c r="G104" s="2">
        <v>1</v>
      </c>
      <c r="H104" s="2" t="s">
        <v>13</v>
      </c>
      <c r="I104" s="2">
        <v>0.65741519999573905</v>
      </c>
      <c r="J104" s="3" t="str">
        <f t="shared" si="1"/>
        <v>neutral</v>
      </c>
    </row>
    <row r="105" spans="1:10" x14ac:dyDescent="0.35">
      <c r="A105" s="2" t="s">
        <v>61</v>
      </c>
      <c r="B105" s="2" t="s">
        <v>22</v>
      </c>
      <c r="C105" s="2" t="s">
        <v>44</v>
      </c>
      <c r="D105" s="2" t="s">
        <v>12</v>
      </c>
      <c r="E105" s="2">
        <v>105</v>
      </c>
      <c r="F105" s="2">
        <v>51</v>
      </c>
      <c r="G105" s="2">
        <v>1</v>
      </c>
      <c r="H105" s="2" t="s">
        <v>13</v>
      </c>
      <c r="I105" s="2">
        <v>0.54663779999827899</v>
      </c>
      <c r="J105" s="3" t="str">
        <f t="shared" si="1"/>
        <v>inconsistent</v>
      </c>
    </row>
    <row r="106" spans="1:10" x14ac:dyDescent="0.35">
      <c r="A106" s="2" t="s">
        <v>52</v>
      </c>
      <c r="B106" s="2" t="s">
        <v>15</v>
      </c>
      <c r="C106" s="2" t="s">
        <v>53</v>
      </c>
      <c r="D106" s="2" t="s">
        <v>17</v>
      </c>
      <c r="E106" s="2">
        <v>106</v>
      </c>
      <c r="F106" s="2">
        <v>52</v>
      </c>
      <c r="G106" s="2">
        <v>1</v>
      </c>
      <c r="H106" s="2" t="s">
        <v>18</v>
      </c>
      <c r="I106" s="2">
        <v>0.63846139999804996</v>
      </c>
      <c r="J106" s="3" t="str">
        <f t="shared" si="1"/>
        <v>inconsistent</v>
      </c>
    </row>
    <row r="107" spans="1:10" x14ac:dyDescent="0.35">
      <c r="A107" s="2" t="s">
        <v>62</v>
      </c>
      <c r="B107" s="2" t="s">
        <v>15</v>
      </c>
      <c r="C107" s="2" t="s">
        <v>42</v>
      </c>
      <c r="D107" s="2" t="s">
        <v>12</v>
      </c>
      <c r="E107" s="2">
        <v>107</v>
      </c>
      <c r="F107" s="2">
        <v>53</v>
      </c>
      <c r="G107" s="2">
        <v>1</v>
      </c>
      <c r="H107" s="2" t="s">
        <v>13</v>
      </c>
      <c r="I107" s="2">
        <v>0.404694999990169</v>
      </c>
      <c r="J107" s="3" t="str">
        <f t="shared" si="1"/>
        <v>consistent</v>
      </c>
    </row>
  </sheetData>
  <autoFilter ref="J1:J107" xr:uid="{ED341016-5412-487C-BD17-E43383956B3F}">
    <filterColumn colId="0">
      <filters blank="1">
        <filter val="consistent"/>
        <filter val="inconsisten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AD88-0DA1-47BB-82C7-98303B069C33}">
  <sheetPr filterMode="1"/>
  <dimension ref="A1:M109"/>
  <sheetViews>
    <sheetView topLeftCell="D1" zoomScale="106" workbookViewId="0">
      <selection activeCell="M17" sqref="M17"/>
    </sheetView>
  </sheetViews>
  <sheetFormatPr defaultRowHeight="14.5" x14ac:dyDescent="0.35"/>
  <cols>
    <col min="9" max="9" width="12.26953125" customWidth="1"/>
    <col min="10" max="10" width="23.1796875" style="1" customWidth="1"/>
    <col min="12" max="13" width="17" customWidth="1"/>
  </cols>
  <sheetData>
    <row r="1" spans="1:13" s="7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69</v>
      </c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3"/>
    </row>
    <row r="3" spans="1:13" hidden="1" x14ac:dyDescent="0.35">
      <c r="A3" s="2" t="s">
        <v>9</v>
      </c>
      <c r="B3" s="2" t="s">
        <v>10</v>
      </c>
      <c r="C3" s="2" t="s">
        <v>37</v>
      </c>
      <c r="D3" s="2" t="s">
        <v>17</v>
      </c>
      <c r="E3" s="2">
        <v>0</v>
      </c>
      <c r="F3" s="2">
        <v>0</v>
      </c>
      <c r="G3" s="2">
        <v>0</v>
      </c>
      <c r="H3" s="2" t="s">
        <v>18</v>
      </c>
      <c r="I3" s="2">
        <v>1.4457082999870099</v>
      </c>
      <c r="J3" s="3" t="str">
        <f>IF(OR(AND(B3="masculine",D3="male"), AND(B3="feminine",D3="female")), "consistent",
IF(OR(AND(B3="masculine",D3="female"), AND(B3="feminine",D3="male")), "inconsistent","neutral"))</f>
        <v>neutral</v>
      </c>
    </row>
    <row r="4" spans="1:13" hidden="1" x14ac:dyDescent="0.35">
      <c r="A4" s="2" t="s">
        <v>38</v>
      </c>
      <c r="B4" s="2" t="s">
        <v>10</v>
      </c>
      <c r="C4" s="2" t="s">
        <v>41</v>
      </c>
      <c r="D4" s="2" t="s">
        <v>12</v>
      </c>
      <c r="E4" s="2">
        <v>1</v>
      </c>
      <c r="F4" s="2">
        <v>1</v>
      </c>
      <c r="G4" s="2">
        <v>0</v>
      </c>
      <c r="H4" s="2" t="s">
        <v>13</v>
      </c>
      <c r="I4" s="2">
        <v>1.2440650000353299</v>
      </c>
      <c r="J4" s="3" t="str">
        <f t="shared" ref="J4:J67" si="0">IF(OR(AND(B4="masculine",D4="male"), AND(B4="feminine",D4="female")), "consistent",
IF(OR(AND(B4="masculine",D4="female"), AND(B4="feminine",D4="male")), "inconsistent","neutral"))</f>
        <v>neutral</v>
      </c>
    </row>
    <row r="5" spans="1:13" x14ac:dyDescent="0.35">
      <c r="A5" s="2" t="s">
        <v>40</v>
      </c>
      <c r="B5" s="2" t="s">
        <v>22</v>
      </c>
      <c r="C5" s="2" t="s">
        <v>39</v>
      </c>
      <c r="D5" s="2" t="s">
        <v>17</v>
      </c>
      <c r="E5" s="2">
        <v>2</v>
      </c>
      <c r="F5" s="2">
        <v>2</v>
      </c>
      <c r="G5" s="2">
        <v>0</v>
      </c>
      <c r="H5" s="2" t="s">
        <v>18</v>
      </c>
      <c r="I5" s="2">
        <v>0.69128030003048402</v>
      </c>
      <c r="J5" s="3" t="str">
        <f t="shared" si="0"/>
        <v>consistent</v>
      </c>
    </row>
    <row r="6" spans="1:13" x14ac:dyDescent="0.35">
      <c r="A6" s="2" t="s">
        <v>43</v>
      </c>
      <c r="B6" s="2" t="s">
        <v>15</v>
      </c>
      <c r="C6" s="2" t="s">
        <v>60</v>
      </c>
      <c r="D6" s="2" t="s">
        <v>17</v>
      </c>
      <c r="E6" s="2">
        <v>3</v>
      </c>
      <c r="F6" s="2">
        <v>3</v>
      </c>
      <c r="G6" s="2">
        <v>0</v>
      </c>
      <c r="H6" s="2" t="s">
        <v>18</v>
      </c>
      <c r="I6" s="2">
        <v>0.76785269996616901</v>
      </c>
      <c r="J6" s="3" t="str">
        <f t="shared" si="0"/>
        <v>inconsistent</v>
      </c>
    </row>
    <row r="7" spans="1:13" x14ac:dyDescent="0.35">
      <c r="A7" s="2" t="s">
        <v>52</v>
      </c>
      <c r="B7" s="2" t="s">
        <v>15</v>
      </c>
      <c r="C7" s="2" t="s">
        <v>55</v>
      </c>
      <c r="D7" s="2" t="s">
        <v>12</v>
      </c>
      <c r="E7" s="2">
        <v>4</v>
      </c>
      <c r="F7" s="2">
        <v>4</v>
      </c>
      <c r="G7" s="2">
        <v>0</v>
      </c>
      <c r="H7" s="2" t="s">
        <v>13</v>
      </c>
      <c r="I7" s="2">
        <v>0.50772860000142805</v>
      </c>
      <c r="J7" s="3" t="str">
        <f t="shared" si="0"/>
        <v>consistent</v>
      </c>
    </row>
    <row r="8" spans="1:13" x14ac:dyDescent="0.35">
      <c r="A8" s="2" t="s">
        <v>14</v>
      </c>
      <c r="B8" s="2" t="s">
        <v>15</v>
      </c>
      <c r="C8" s="2" t="s">
        <v>24</v>
      </c>
      <c r="D8" s="2" t="s">
        <v>12</v>
      </c>
      <c r="E8" s="2">
        <v>5</v>
      </c>
      <c r="F8" s="2">
        <v>5</v>
      </c>
      <c r="G8" s="2">
        <v>0</v>
      </c>
      <c r="H8" s="2" t="s">
        <v>13</v>
      </c>
      <c r="I8" s="2">
        <v>0.48220369999762602</v>
      </c>
      <c r="J8" s="3" t="str">
        <f t="shared" si="0"/>
        <v>consistent</v>
      </c>
      <c r="L8" s="2" t="s">
        <v>75</v>
      </c>
      <c r="M8" s="4">
        <f>AVERAGE(I5:I107)</f>
        <v>0.56122231844290438</v>
      </c>
    </row>
    <row r="9" spans="1:13" x14ac:dyDescent="0.35">
      <c r="A9" s="2" t="s">
        <v>26</v>
      </c>
      <c r="B9" s="2" t="s">
        <v>22</v>
      </c>
      <c r="C9" s="2" t="s">
        <v>29</v>
      </c>
      <c r="D9" s="2" t="s">
        <v>12</v>
      </c>
      <c r="E9" s="2">
        <v>6</v>
      </c>
      <c r="F9" s="2">
        <v>6</v>
      </c>
      <c r="G9" s="2">
        <v>0</v>
      </c>
      <c r="H9" s="2" t="s">
        <v>13</v>
      </c>
      <c r="I9" s="2">
        <v>0.43966859998181401</v>
      </c>
      <c r="J9" s="3" t="str">
        <f t="shared" si="0"/>
        <v>inconsistent</v>
      </c>
      <c r="L9" s="2" t="s">
        <v>74</v>
      </c>
      <c r="M9" s="4">
        <f>AVERAGE(I6:I109)</f>
        <v>0.559176224996358</v>
      </c>
    </row>
    <row r="10" spans="1:13" x14ac:dyDescent="0.35">
      <c r="A10" s="2" t="s">
        <v>46</v>
      </c>
      <c r="B10" s="2" t="s">
        <v>15</v>
      </c>
      <c r="C10" s="2" t="s">
        <v>39</v>
      </c>
      <c r="D10" s="2" t="s">
        <v>17</v>
      </c>
      <c r="E10" s="2">
        <v>7</v>
      </c>
      <c r="F10" s="2">
        <v>7</v>
      </c>
      <c r="G10" s="2">
        <v>0</v>
      </c>
      <c r="H10" s="2" t="s">
        <v>18</v>
      </c>
      <c r="I10" s="2">
        <v>0.632054199988488</v>
      </c>
      <c r="J10" s="3" t="str">
        <f t="shared" si="0"/>
        <v>inconsistent</v>
      </c>
    </row>
    <row r="11" spans="1:13" x14ac:dyDescent="0.35">
      <c r="A11" s="2" t="s">
        <v>35</v>
      </c>
      <c r="B11" s="2" t="s">
        <v>22</v>
      </c>
      <c r="C11" s="2" t="s">
        <v>36</v>
      </c>
      <c r="D11" s="2" t="s">
        <v>17</v>
      </c>
      <c r="E11" s="2">
        <v>8</v>
      </c>
      <c r="F11" s="2">
        <v>8</v>
      </c>
      <c r="G11" s="2">
        <v>0</v>
      </c>
      <c r="H11" s="2" t="s">
        <v>18</v>
      </c>
      <c r="I11" s="2">
        <v>0.48701209999853701</v>
      </c>
      <c r="J11" s="3" t="str">
        <f t="shared" si="0"/>
        <v>consistent</v>
      </c>
    </row>
    <row r="12" spans="1:13" x14ac:dyDescent="0.35">
      <c r="A12" s="2" t="s">
        <v>47</v>
      </c>
      <c r="B12" s="2" t="s">
        <v>22</v>
      </c>
      <c r="C12" s="2" t="s">
        <v>37</v>
      </c>
      <c r="D12" s="2" t="s">
        <v>17</v>
      </c>
      <c r="E12" s="2">
        <v>9</v>
      </c>
      <c r="F12" s="2">
        <v>9</v>
      </c>
      <c r="G12" s="2">
        <v>0</v>
      </c>
      <c r="H12" s="2" t="s">
        <v>18</v>
      </c>
      <c r="I12" s="2">
        <v>0.88212319999001898</v>
      </c>
      <c r="J12" s="3" t="str">
        <f t="shared" si="0"/>
        <v>consistent</v>
      </c>
    </row>
    <row r="13" spans="1:13" x14ac:dyDescent="0.35">
      <c r="A13" s="2" t="s">
        <v>62</v>
      </c>
      <c r="B13" s="2" t="s">
        <v>15</v>
      </c>
      <c r="C13" s="2" t="s">
        <v>42</v>
      </c>
      <c r="D13" s="2" t="s">
        <v>12</v>
      </c>
      <c r="E13" s="2">
        <v>10</v>
      </c>
      <c r="F13" s="2">
        <v>10</v>
      </c>
      <c r="G13" s="2">
        <v>0</v>
      </c>
      <c r="H13" s="2" t="s">
        <v>13</v>
      </c>
      <c r="I13" s="2">
        <v>0.49886560003505998</v>
      </c>
      <c r="J13" s="3" t="str">
        <f t="shared" si="0"/>
        <v>consistent</v>
      </c>
      <c r="L13" s="2" t="s">
        <v>76</v>
      </c>
      <c r="M13" s="4">
        <f>AVERAGEIFS(I5:I109, J5:J109, "consistent", D5:D109, "male")</f>
        <v>0.54736814998775785</v>
      </c>
    </row>
    <row r="14" spans="1:13" x14ac:dyDescent="0.35">
      <c r="A14" s="2" t="s">
        <v>21</v>
      </c>
      <c r="B14" s="2" t="s">
        <v>22</v>
      </c>
      <c r="C14" s="2" t="s">
        <v>20</v>
      </c>
      <c r="D14" s="2" t="s">
        <v>17</v>
      </c>
      <c r="E14" s="2">
        <v>11</v>
      </c>
      <c r="F14" s="2">
        <v>11</v>
      </c>
      <c r="G14" s="2">
        <v>0</v>
      </c>
      <c r="H14" s="2" t="s">
        <v>18</v>
      </c>
      <c r="I14" s="2">
        <v>0.49583060003351398</v>
      </c>
      <c r="J14" s="3" t="str">
        <f t="shared" si="0"/>
        <v>consistent</v>
      </c>
      <c r="L14" s="2" t="s">
        <v>77</v>
      </c>
      <c r="M14" s="4">
        <f>AVERAGEIFS(I5:I109, J5:J109, "consistent", D5:D109, "female")</f>
        <v>0.52042525999131573</v>
      </c>
    </row>
    <row r="15" spans="1:13" x14ac:dyDescent="0.35">
      <c r="A15" s="2" t="s">
        <v>32</v>
      </c>
      <c r="B15" s="2" t="s">
        <v>15</v>
      </c>
      <c r="C15" s="2" t="s">
        <v>31</v>
      </c>
      <c r="D15" s="2" t="s">
        <v>17</v>
      </c>
      <c r="E15" s="2">
        <v>12</v>
      </c>
      <c r="F15" s="2">
        <v>12</v>
      </c>
      <c r="G15" s="2">
        <v>0</v>
      </c>
      <c r="H15" s="2" t="s">
        <v>18</v>
      </c>
      <c r="I15" s="2">
        <v>0.44039460003841602</v>
      </c>
      <c r="J15" s="3" t="str">
        <f t="shared" si="0"/>
        <v>inconsistent</v>
      </c>
      <c r="L15" s="2"/>
      <c r="M15" s="2"/>
    </row>
    <row r="16" spans="1:13" x14ac:dyDescent="0.35">
      <c r="A16" s="2" t="s">
        <v>35</v>
      </c>
      <c r="B16" s="2" t="s">
        <v>22</v>
      </c>
      <c r="C16" s="2" t="s">
        <v>42</v>
      </c>
      <c r="D16" s="2" t="s">
        <v>12</v>
      </c>
      <c r="E16" s="2">
        <v>13</v>
      </c>
      <c r="F16" s="2">
        <v>13</v>
      </c>
      <c r="G16" s="2">
        <v>0</v>
      </c>
      <c r="H16" s="2" t="s">
        <v>13</v>
      </c>
      <c r="I16" s="2">
        <v>0.57338449999224395</v>
      </c>
      <c r="J16" s="3" t="str">
        <f t="shared" si="0"/>
        <v>inconsistent</v>
      </c>
      <c r="L16" s="2" t="s">
        <v>78</v>
      </c>
      <c r="M16" s="4">
        <f>AVERAGEIFS(I5:I109, J5:J109, "inconsistent", D5:D109, "male")</f>
        <v>0.60570181000512013</v>
      </c>
    </row>
    <row r="17" spans="1:13" x14ac:dyDescent="0.35">
      <c r="A17" s="2" t="s">
        <v>62</v>
      </c>
      <c r="B17" s="2" t="s">
        <v>15</v>
      </c>
      <c r="C17" s="2" t="s">
        <v>36</v>
      </c>
      <c r="D17" s="2" t="s">
        <v>17</v>
      </c>
      <c r="E17" s="2">
        <v>14</v>
      </c>
      <c r="F17" s="2">
        <v>14</v>
      </c>
      <c r="G17" s="2">
        <v>0</v>
      </c>
      <c r="H17" s="2" t="s">
        <v>18</v>
      </c>
      <c r="I17" s="2">
        <v>0.35345120000420099</v>
      </c>
      <c r="J17" s="3" t="str">
        <f t="shared" si="0"/>
        <v>inconsistent</v>
      </c>
      <c r="L17" s="2" t="s">
        <v>79</v>
      </c>
      <c r="M17" s="4">
        <f>AVERAGEIFS(I5:I109, J5:J109, "inconsistent", D5:D109, "female")</f>
        <v>0.58834764444489074</v>
      </c>
    </row>
    <row r="18" spans="1:13" x14ac:dyDescent="0.35">
      <c r="A18" s="2" t="s">
        <v>47</v>
      </c>
      <c r="B18" s="2" t="s">
        <v>22</v>
      </c>
      <c r="C18" s="2" t="s">
        <v>11</v>
      </c>
      <c r="D18" s="2" t="s">
        <v>12</v>
      </c>
      <c r="E18" s="2">
        <v>15</v>
      </c>
      <c r="F18" s="2">
        <v>15</v>
      </c>
      <c r="G18" s="2">
        <v>0</v>
      </c>
      <c r="H18" s="2" t="s">
        <v>13</v>
      </c>
      <c r="I18" s="2">
        <v>0.72218620002968203</v>
      </c>
      <c r="J18" s="3" t="str">
        <f t="shared" si="0"/>
        <v>inconsistent</v>
      </c>
    </row>
    <row r="19" spans="1:13" hidden="1" x14ac:dyDescent="0.35">
      <c r="A19" s="2" t="s">
        <v>58</v>
      </c>
      <c r="B19" s="2" t="s">
        <v>10</v>
      </c>
      <c r="C19" s="2" t="s">
        <v>36</v>
      </c>
      <c r="D19" s="2" t="s">
        <v>17</v>
      </c>
      <c r="E19" s="2">
        <v>16</v>
      </c>
      <c r="F19" s="2">
        <v>16</v>
      </c>
      <c r="G19" s="2">
        <v>0</v>
      </c>
      <c r="H19" s="2" t="s">
        <v>18</v>
      </c>
      <c r="I19" s="2">
        <v>0.43691009999019997</v>
      </c>
      <c r="J19" s="3" t="str">
        <f t="shared" si="0"/>
        <v>neutral</v>
      </c>
    </row>
    <row r="20" spans="1:13" x14ac:dyDescent="0.35">
      <c r="A20" s="2" t="s">
        <v>52</v>
      </c>
      <c r="B20" s="2" t="s">
        <v>15</v>
      </c>
      <c r="C20" s="2" t="s">
        <v>53</v>
      </c>
      <c r="D20" s="2" t="s">
        <v>17</v>
      </c>
      <c r="E20" s="2">
        <v>17</v>
      </c>
      <c r="F20" s="2">
        <v>17</v>
      </c>
      <c r="G20" s="2">
        <v>0</v>
      </c>
      <c r="H20" s="2" t="s">
        <v>18</v>
      </c>
      <c r="I20" s="2">
        <v>1.0699143999954599</v>
      </c>
      <c r="J20" s="3" t="str">
        <f t="shared" si="0"/>
        <v>inconsistent</v>
      </c>
    </row>
    <row r="21" spans="1:13" x14ac:dyDescent="0.35">
      <c r="A21" s="2" t="s">
        <v>61</v>
      </c>
      <c r="B21" s="2" t="s">
        <v>22</v>
      </c>
      <c r="C21" s="2" t="s">
        <v>44</v>
      </c>
      <c r="D21" s="2" t="s">
        <v>12</v>
      </c>
      <c r="E21" s="2">
        <v>18</v>
      </c>
      <c r="F21" s="2">
        <v>18</v>
      </c>
      <c r="G21" s="2">
        <v>0</v>
      </c>
      <c r="H21" s="2" t="s">
        <v>13</v>
      </c>
      <c r="I21" s="2">
        <v>0.53462230000877697</v>
      </c>
      <c r="J21" s="3" t="str">
        <f t="shared" si="0"/>
        <v>inconsistent</v>
      </c>
    </row>
    <row r="22" spans="1:13" x14ac:dyDescent="0.35">
      <c r="A22" s="2" t="s">
        <v>57</v>
      </c>
      <c r="B22" s="2" t="s">
        <v>22</v>
      </c>
      <c r="C22" s="2" t="s">
        <v>53</v>
      </c>
      <c r="D22" s="2" t="s">
        <v>17</v>
      </c>
      <c r="E22" s="2">
        <v>19</v>
      </c>
      <c r="F22" s="2">
        <v>19</v>
      </c>
      <c r="G22" s="2">
        <v>0</v>
      </c>
      <c r="H22" s="2" t="s">
        <v>18</v>
      </c>
      <c r="I22" s="2">
        <v>0.686898299958556</v>
      </c>
      <c r="J22" s="3" t="str">
        <f t="shared" si="0"/>
        <v>consistent</v>
      </c>
    </row>
    <row r="23" spans="1:13" hidden="1" x14ac:dyDescent="0.35">
      <c r="A23" s="2" t="s">
        <v>45</v>
      </c>
      <c r="B23" s="2" t="s">
        <v>10</v>
      </c>
      <c r="C23" s="2" t="s">
        <v>33</v>
      </c>
      <c r="D23" s="2" t="s">
        <v>12</v>
      </c>
      <c r="E23" s="2">
        <v>20</v>
      </c>
      <c r="F23" s="2">
        <v>20</v>
      </c>
      <c r="G23" s="2">
        <v>0</v>
      </c>
      <c r="H23" s="2" t="s">
        <v>13</v>
      </c>
      <c r="I23" s="2">
        <v>0.45438579999608902</v>
      </c>
      <c r="J23" s="3" t="str">
        <f t="shared" si="0"/>
        <v>neutral</v>
      </c>
    </row>
    <row r="24" spans="1:13" x14ac:dyDescent="0.35">
      <c r="A24" s="2" t="s">
        <v>14</v>
      </c>
      <c r="B24" s="2" t="s">
        <v>15</v>
      </c>
      <c r="C24" s="2" t="s">
        <v>16</v>
      </c>
      <c r="D24" s="2" t="s">
        <v>17</v>
      </c>
      <c r="E24" s="2">
        <v>21</v>
      </c>
      <c r="F24" s="2">
        <v>21</v>
      </c>
      <c r="G24" s="2">
        <v>0</v>
      </c>
      <c r="H24" s="2" t="s">
        <v>18</v>
      </c>
      <c r="I24" s="2">
        <v>0.704339399992022</v>
      </c>
      <c r="J24" s="3" t="str">
        <f t="shared" si="0"/>
        <v>inconsistent</v>
      </c>
    </row>
    <row r="25" spans="1:13" hidden="1" x14ac:dyDescent="0.35">
      <c r="A25" s="2" t="s">
        <v>58</v>
      </c>
      <c r="B25" s="2" t="s">
        <v>10</v>
      </c>
      <c r="C25" s="2" t="s">
        <v>42</v>
      </c>
      <c r="D25" s="2" t="s">
        <v>12</v>
      </c>
      <c r="E25" s="2">
        <v>22</v>
      </c>
      <c r="F25" s="2">
        <v>22</v>
      </c>
      <c r="G25" s="2">
        <v>0</v>
      </c>
      <c r="H25" s="2" t="s">
        <v>13</v>
      </c>
      <c r="I25" s="2">
        <v>0.51411170000210404</v>
      </c>
      <c r="J25" s="3" t="str">
        <f t="shared" si="0"/>
        <v>neutral</v>
      </c>
    </row>
    <row r="26" spans="1:13" x14ac:dyDescent="0.35">
      <c r="A26" s="2" t="s">
        <v>43</v>
      </c>
      <c r="B26" s="2" t="s">
        <v>15</v>
      </c>
      <c r="C26" s="2" t="s">
        <v>44</v>
      </c>
      <c r="D26" s="2" t="s">
        <v>12</v>
      </c>
      <c r="E26" s="2">
        <v>23</v>
      </c>
      <c r="F26" s="2">
        <v>23</v>
      </c>
      <c r="G26" s="2">
        <v>0</v>
      </c>
      <c r="H26" s="2" t="s">
        <v>13</v>
      </c>
      <c r="I26" s="2">
        <v>0.536412099958397</v>
      </c>
      <c r="J26" s="3" t="str">
        <f t="shared" si="0"/>
        <v>consistent</v>
      </c>
    </row>
    <row r="27" spans="1:13" x14ac:dyDescent="0.35">
      <c r="A27" s="2" t="s">
        <v>25</v>
      </c>
      <c r="B27" s="2" t="s">
        <v>22</v>
      </c>
      <c r="C27" s="2" t="s">
        <v>24</v>
      </c>
      <c r="D27" s="2" t="s">
        <v>12</v>
      </c>
      <c r="E27" s="2">
        <v>24</v>
      </c>
      <c r="F27" s="2">
        <v>24</v>
      </c>
      <c r="G27" s="2">
        <v>0</v>
      </c>
      <c r="H27" s="2" t="s">
        <v>13</v>
      </c>
      <c r="I27" s="2">
        <v>0.52456519997213003</v>
      </c>
      <c r="J27" s="3" t="str">
        <f t="shared" si="0"/>
        <v>inconsistent</v>
      </c>
    </row>
    <row r="28" spans="1:13" x14ac:dyDescent="0.35">
      <c r="A28" s="2" t="s">
        <v>48</v>
      </c>
      <c r="B28" s="2" t="s">
        <v>15</v>
      </c>
      <c r="C28" s="2" t="s">
        <v>56</v>
      </c>
      <c r="D28" s="2" t="s">
        <v>17</v>
      </c>
      <c r="E28" s="2">
        <v>25</v>
      </c>
      <c r="F28" s="2">
        <v>25</v>
      </c>
      <c r="G28" s="2">
        <v>0</v>
      </c>
      <c r="H28" s="2" t="s">
        <v>18</v>
      </c>
      <c r="I28" s="2">
        <v>0.42930530000012301</v>
      </c>
      <c r="J28" s="3" t="str">
        <f t="shared" si="0"/>
        <v>inconsistent</v>
      </c>
    </row>
    <row r="29" spans="1:13" hidden="1" x14ac:dyDescent="0.35">
      <c r="A29" s="2" t="s">
        <v>23</v>
      </c>
      <c r="B29" s="2" t="s">
        <v>10</v>
      </c>
      <c r="C29" s="2" t="s">
        <v>24</v>
      </c>
      <c r="D29" s="2" t="s">
        <v>12</v>
      </c>
      <c r="E29" s="2">
        <v>26</v>
      </c>
      <c r="F29" s="2">
        <v>26</v>
      </c>
      <c r="G29" s="2">
        <v>0</v>
      </c>
      <c r="H29" s="2" t="s">
        <v>13</v>
      </c>
      <c r="I29" s="2">
        <v>0.49658390000695302</v>
      </c>
      <c r="J29" s="3" t="str">
        <f t="shared" si="0"/>
        <v>neutral</v>
      </c>
    </row>
    <row r="30" spans="1:13" x14ac:dyDescent="0.35">
      <c r="A30" s="2" t="s">
        <v>50</v>
      </c>
      <c r="B30" s="2" t="s">
        <v>15</v>
      </c>
      <c r="C30" s="2" t="s">
        <v>20</v>
      </c>
      <c r="D30" s="2" t="s">
        <v>17</v>
      </c>
      <c r="E30" s="2">
        <v>27</v>
      </c>
      <c r="F30" s="2">
        <v>27</v>
      </c>
      <c r="G30" s="2">
        <v>0</v>
      </c>
      <c r="H30" s="2" t="s">
        <v>18</v>
      </c>
      <c r="I30" s="2">
        <v>0.54614380002021701</v>
      </c>
      <c r="J30" s="3" t="str">
        <f t="shared" si="0"/>
        <v>inconsistent</v>
      </c>
    </row>
    <row r="31" spans="1:13" x14ac:dyDescent="0.35">
      <c r="A31" s="2" t="s">
        <v>34</v>
      </c>
      <c r="B31" s="2" t="s">
        <v>15</v>
      </c>
      <c r="C31" s="2" t="s">
        <v>37</v>
      </c>
      <c r="D31" s="2" t="s">
        <v>17</v>
      </c>
      <c r="E31" s="2">
        <v>28</v>
      </c>
      <c r="F31" s="2">
        <v>28</v>
      </c>
      <c r="G31" s="2">
        <v>0</v>
      </c>
      <c r="H31" s="2" t="s">
        <v>18</v>
      </c>
      <c r="I31" s="2">
        <v>0.69358100002864298</v>
      </c>
      <c r="J31" s="3" t="str">
        <f t="shared" si="0"/>
        <v>inconsistent</v>
      </c>
    </row>
    <row r="32" spans="1:13" x14ac:dyDescent="0.35">
      <c r="A32" s="2" t="s">
        <v>25</v>
      </c>
      <c r="B32" s="2" t="s">
        <v>22</v>
      </c>
      <c r="C32" s="2" t="s">
        <v>16</v>
      </c>
      <c r="D32" s="2" t="s">
        <v>17</v>
      </c>
      <c r="E32" s="2">
        <v>29</v>
      </c>
      <c r="F32" s="2">
        <v>29</v>
      </c>
      <c r="G32" s="2">
        <v>0</v>
      </c>
      <c r="H32" s="2" t="s">
        <v>18</v>
      </c>
      <c r="I32" s="2">
        <v>0.424482900009024</v>
      </c>
      <c r="J32" s="3" t="str">
        <f t="shared" si="0"/>
        <v>consistent</v>
      </c>
    </row>
    <row r="33" spans="1:10" x14ac:dyDescent="0.35">
      <c r="A33" s="2" t="s">
        <v>61</v>
      </c>
      <c r="B33" s="2" t="s">
        <v>22</v>
      </c>
      <c r="C33" s="2" t="s">
        <v>60</v>
      </c>
      <c r="D33" s="2" t="s">
        <v>17</v>
      </c>
      <c r="E33" s="2">
        <v>30</v>
      </c>
      <c r="F33" s="2">
        <v>30</v>
      </c>
      <c r="G33" s="2">
        <v>0</v>
      </c>
      <c r="H33" s="2" t="s">
        <v>18</v>
      </c>
      <c r="I33" s="2">
        <v>0.44674339995253798</v>
      </c>
      <c r="J33" s="3" t="str">
        <f t="shared" si="0"/>
        <v>consistent</v>
      </c>
    </row>
    <row r="34" spans="1:10" hidden="1" x14ac:dyDescent="0.35">
      <c r="A34" s="2" t="s">
        <v>51</v>
      </c>
      <c r="B34" s="2" t="s">
        <v>10</v>
      </c>
      <c r="C34" s="2" t="s">
        <v>49</v>
      </c>
      <c r="D34" s="2" t="s">
        <v>12</v>
      </c>
      <c r="E34" s="2">
        <v>31</v>
      </c>
      <c r="F34" s="2">
        <v>31</v>
      </c>
      <c r="G34" s="2">
        <v>0</v>
      </c>
      <c r="H34" s="2" t="s">
        <v>13</v>
      </c>
      <c r="I34" s="2">
        <v>0.66602980002062395</v>
      </c>
      <c r="J34" s="3" t="str">
        <f t="shared" si="0"/>
        <v>neutral</v>
      </c>
    </row>
    <row r="35" spans="1:10" x14ac:dyDescent="0.35">
      <c r="A35" s="2" t="s">
        <v>46</v>
      </c>
      <c r="B35" s="2" t="s">
        <v>15</v>
      </c>
      <c r="C35" s="2" t="s">
        <v>41</v>
      </c>
      <c r="D35" s="2" t="s">
        <v>12</v>
      </c>
      <c r="E35" s="2">
        <v>32</v>
      </c>
      <c r="F35" s="2">
        <v>32</v>
      </c>
      <c r="G35" s="2">
        <v>0</v>
      </c>
      <c r="H35" s="2" t="s">
        <v>13</v>
      </c>
      <c r="I35" s="2">
        <v>0.48320259997853998</v>
      </c>
      <c r="J35" s="3" t="str">
        <f t="shared" si="0"/>
        <v>consistent</v>
      </c>
    </row>
    <row r="36" spans="1:10" x14ac:dyDescent="0.35">
      <c r="A36" s="2" t="s">
        <v>48</v>
      </c>
      <c r="B36" s="2" t="s">
        <v>15</v>
      </c>
      <c r="C36" s="2" t="s">
        <v>49</v>
      </c>
      <c r="D36" s="2" t="s">
        <v>12</v>
      </c>
      <c r="E36" s="2">
        <v>33</v>
      </c>
      <c r="F36" s="2">
        <v>33</v>
      </c>
      <c r="G36" s="2">
        <v>0</v>
      </c>
      <c r="H36" s="2" t="s">
        <v>13</v>
      </c>
      <c r="I36" s="2">
        <v>0.56795529997907501</v>
      </c>
      <c r="J36" s="3" t="str">
        <f t="shared" si="0"/>
        <v>consistent</v>
      </c>
    </row>
    <row r="37" spans="1:10" x14ac:dyDescent="0.35">
      <c r="A37" s="2" t="s">
        <v>32</v>
      </c>
      <c r="B37" s="2" t="s">
        <v>15</v>
      </c>
      <c r="C37" s="2" t="s">
        <v>33</v>
      </c>
      <c r="D37" s="2" t="s">
        <v>12</v>
      </c>
      <c r="E37" s="2">
        <v>34</v>
      </c>
      <c r="F37" s="2">
        <v>34</v>
      </c>
      <c r="G37" s="2">
        <v>0</v>
      </c>
      <c r="H37" s="2" t="s">
        <v>13</v>
      </c>
      <c r="I37" s="2">
        <v>0.39948459999868602</v>
      </c>
      <c r="J37" s="3" t="str">
        <f t="shared" si="0"/>
        <v>consistent</v>
      </c>
    </row>
    <row r="38" spans="1:10" x14ac:dyDescent="0.35">
      <c r="A38" s="2" t="s">
        <v>30</v>
      </c>
      <c r="B38" s="2" t="s">
        <v>22</v>
      </c>
      <c r="C38" s="2" t="s">
        <v>33</v>
      </c>
      <c r="D38" s="2" t="s">
        <v>12</v>
      </c>
      <c r="E38" s="2">
        <v>35</v>
      </c>
      <c r="F38" s="2">
        <v>35</v>
      </c>
      <c r="G38" s="2">
        <v>0</v>
      </c>
      <c r="H38" s="2" t="s">
        <v>13</v>
      </c>
      <c r="I38" s="2">
        <v>0.47330769995460198</v>
      </c>
      <c r="J38" s="3" t="str">
        <f t="shared" si="0"/>
        <v>inconsistent</v>
      </c>
    </row>
    <row r="39" spans="1:10" x14ac:dyDescent="0.35">
      <c r="A39" s="2" t="s">
        <v>26</v>
      </c>
      <c r="B39" s="2" t="s">
        <v>22</v>
      </c>
      <c r="C39" s="2" t="s">
        <v>27</v>
      </c>
      <c r="D39" s="2" t="s">
        <v>17</v>
      </c>
      <c r="E39" s="2">
        <v>36</v>
      </c>
      <c r="F39" s="2">
        <v>36</v>
      </c>
      <c r="G39" s="2">
        <v>0</v>
      </c>
      <c r="H39" s="2" t="s">
        <v>18</v>
      </c>
      <c r="I39" s="2">
        <v>0.50188130000606102</v>
      </c>
      <c r="J39" s="3" t="str">
        <f t="shared" si="0"/>
        <v>consistent</v>
      </c>
    </row>
    <row r="40" spans="1:10" hidden="1" x14ac:dyDescent="0.35">
      <c r="A40" s="2" t="s">
        <v>54</v>
      </c>
      <c r="B40" s="2" t="s">
        <v>10</v>
      </c>
      <c r="C40" s="2" t="s">
        <v>60</v>
      </c>
      <c r="D40" s="2" t="s">
        <v>17</v>
      </c>
      <c r="E40" s="2">
        <v>37</v>
      </c>
      <c r="F40" s="2">
        <v>37</v>
      </c>
      <c r="G40" s="2">
        <v>0</v>
      </c>
      <c r="H40" s="2" t="s">
        <v>18</v>
      </c>
      <c r="I40" s="2">
        <v>0.42863859998760701</v>
      </c>
      <c r="J40" s="3" t="str">
        <f t="shared" si="0"/>
        <v>neutral</v>
      </c>
    </row>
    <row r="41" spans="1:10" x14ac:dyDescent="0.35">
      <c r="A41" s="2" t="s">
        <v>21</v>
      </c>
      <c r="B41" s="2" t="s">
        <v>22</v>
      </c>
      <c r="C41" s="2" t="s">
        <v>59</v>
      </c>
      <c r="D41" s="2" t="s">
        <v>12</v>
      </c>
      <c r="E41" s="2">
        <v>38</v>
      </c>
      <c r="F41" s="2">
        <v>38</v>
      </c>
      <c r="G41" s="2">
        <v>0</v>
      </c>
      <c r="H41" s="2" t="s">
        <v>13</v>
      </c>
      <c r="I41" s="2">
        <v>1.40207720000762</v>
      </c>
      <c r="J41" s="3" t="str">
        <f t="shared" si="0"/>
        <v>inconsistent</v>
      </c>
    </row>
    <row r="42" spans="1:10" hidden="1" x14ac:dyDescent="0.35">
      <c r="A42" s="2" t="s">
        <v>19</v>
      </c>
      <c r="B42" s="2" t="s">
        <v>10</v>
      </c>
      <c r="C42" s="2" t="s">
        <v>59</v>
      </c>
      <c r="D42" s="2" t="s">
        <v>12</v>
      </c>
      <c r="E42" s="2">
        <v>39</v>
      </c>
      <c r="F42" s="2">
        <v>39</v>
      </c>
      <c r="G42" s="2">
        <v>0</v>
      </c>
      <c r="H42" s="2" t="s">
        <v>13</v>
      </c>
      <c r="I42" s="2">
        <v>0.48851130000548398</v>
      </c>
      <c r="J42" s="3" t="str">
        <f t="shared" si="0"/>
        <v>neutral</v>
      </c>
    </row>
    <row r="43" spans="1:10" x14ac:dyDescent="0.35">
      <c r="A43" s="2" t="s">
        <v>40</v>
      </c>
      <c r="B43" s="2" t="s">
        <v>22</v>
      </c>
      <c r="C43" s="2" t="s">
        <v>41</v>
      </c>
      <c r="D43" s="2" t="s">
        <v>12</v>
      </c>
      <c r="E43" s="2">
        <v>40</v>
      </c>
      <c r="F43" s="2">
        <v>40</v>
      </c>
      <c r="G43" s="2">
        <v>0</v>
      </c>
      <c r="H43" s="2" t="s">
        <v>13</v>
      </c>
      <c r="I43" s="2">
        <v>0.72597379999933698</v>
      </c>
      <c r="J43" s="3" t="str">
        <f t="shared" si="0"/>
        <v>inconsistent</v>
      </c>
    </row>
    <row r="44" spans="1:10" hidden="1" x14ac:dyDescent="0.35">
      <c r="A44" s="2" t="s">
        <v>38</v>
      </c>
      <c r="B44" s="2" t="s">
        <v>10</v>
      </c>
      <c r="C44" s="2" t="s">
        <v>39</v>
      </c>
      <c r="D44" s="2" t="s">
        <v>17</v>
      </c>
      <c r="E44" s="2">
        <v>41</v>
      </c>
      <c r="F44" s="2">
        <v>41</v>
      </c>
      <c r="G44" s="2">
        <v>0</v>
      </c>
      <c r="H44" s="2" t="s">
        <v>18</v>
      </c>
      <c r="I44" s="2">
        <v>0.59704439999768499</v>
      </c>
      <c r="J44" s="3" t="str">
        <f t="shared" si="0"/>
        <v>neutral</v>
      </c>
    </row>
    <row r="45" spans="1:10" hidden="1" x14ac:dyDescent="0.35">
      <c r="A45" s="2" t="s">
        <v>19</v>
      </c>
      <c r="B45" s="2" t="s">
        <v>10</v>
      </c>
      <c r="C45" s="2" t="s">
        <v>20</v>
      </c>
      <c r="D45" s="2" t="s">
        <v>17</v>
      </c>
      <c r="E45" s="2">
        <v>42</v>
      </c>
      <c r="F45" s="2">
        <v>42</v>
      </c>
      <c r="G45" s="2">
        <v>0</v>
      </c>
      <c r="H45" s="2" t="s">
        <v>18</v>
      </c>
      <c r="I45" s="2">
        <v>0.55976319999899704</v>
      </c>
      <c r="J45" s="3" t="str">
        <f t="shared" si="0"/>
        <v>neutral</v>
      </c>
    </row>
    <row r="46" spans="1:10" x14ac:dyDescent="0.35">
      <c r="A46" s="2" t="s">
        <v>50</v>
      </c>
      <c r="B46" s="2" t="s">
        <v>15</v>
      </c>
      <c r="C46" s="2" t="s">
        <v>59</v>
      </c>
      <c r="D46" s="2" t="s">
        <v>12</v>
      </c>
      <c r="E46" s="2">
        <v>43</v>
      </c>
      <c r="F46" s="2">
        <v>43</v>
      </c>
      <c r="G46" s="2">
        <v>0</v>
      </c>
      <c r="H46" s="2" t="s">
        <v>13</v>
      </c>
      <c r="I46" s="2">
        <v>0.61781519994838097</v>
      </c>
      <c r="J46" s="3" t="str">
        <f t="shared" si="0"/>
        <v>consistent</v>
      </c>
    </row>
    <row r="47" spans="1:10" x14ac:dyDescent="0.35">
      <c r="A47" s="2" t="s">
        <v>34</v>
      </c>
      <c r="B47" s="2" t="s">
        <v>15</v>
      </c>
      <c r="C47" s="2" t="s">
        <v>11</v>
      </c>
      <c r="D47" s="2" t="s">
        <v>12</v>
      </c>
      <c r="E47" s="2">
        <v>44</v>
      </c>
      <c r="F47" s="2">
        <v>44</v>
      </c>
      <c r="G47" s="2">
        <v>0</v>
      </c>
      <c r="H47" s="2" t="s">
        <v>13</v>
      </c>
      <c r="I47" s="2">
        <v>0.73129419999895595</v>
      </c>
      <c r="J47" s="3" t="str">
        <f t="shared" si="0"/>
        <v>consistent</v>
      </c>
    </row>
    <row r="48" spans="1:10" hidden="1" x14ac:dyDescent="0.35">
      <c r="A48" s="2" t="s">
        <v>9</v>
      </c>
      <c r="B48" s="2" t="s">
        <v>10</v>
      </c>
      <c r="C48" s="2" t="s">
        <v>11</v>
      </c>
      <c r="D48" s="2" t="s">
        <v>12</v>
      </c>
      <c r="E48" s="2">
        <v>45</v>
      </c>
      <c r="F48" s="2">
        <v>45</v>
      </c>
      <c r="G48" s="2">
        <v>0</v>
      </c>
      <c r="H48" s="2" t="s">
        <v>13</v>
      </c>
      <c r="I48" s="2">
        <v>0.56007399997906704</v>
      </c>
      <c r="J48" s="3" t="str">
        <f t="shared" si="0"/>
        <v>neutral</v>
      </c>
    </row>
    <row r="49" spans="1:10" x14ac:dyDescent="0.35">
      <c r="A49" s="2" t="s">
        <v>28</v>
      </c>
      <c r="B49" s="2" t="s">
        <v>15</v>
      </c>
      <c r="C49" s="2" t="s">
        <v>29</v>
      </c>
      <c r="D49" s="2" t="s">
        <v>12</v>
      </c>
      <c r="E49" s="2">
        <v>46</v>
      </c>
      <c r="F49" s="2">
        <v>46</v>
      </c>
      <c r="G49" s="2">
        <v>0</v>
      </c>
      <c r="H49" s="2" t="s">
        <v>13</v>
      </c>
      <c r="I49" s="2">
        <v>0.92811799998162303</v>
      </c>
      <c r="J49" s="3" t="str">
        <f t="shared" si="0"/>
        <v>consistent</v>
      </c>
    </row>
    <row r="50" spans="1:10" hidden="1" x14ac:dyDescent="0.35">
      <c r="A50" s="2" t="s">
        <v>45</v>
      </c>
      <c r="B50" s="2" t="s">
        <v>10</v>
      </c>
      <c r="C50" s="2" t="s">
        <v>31</v>
      </c>
      <c r="D50" s="2" t="s">
        <v>17</v>
      </c>
      <c r="E50" s="2">
        <v>47</v>
      </c>
      <c r="F50" s="2">
        <v>47</v>
      </c>
      <c r="G50" s="2">
        <v>0</v>
      </c>
      <c r="H50" s="2" t="s">
        <v>18</v>
      </c>
      <c r="I50" s="2">
        <v>0.52377769997110502</v>
      </c>
      <c r="J50" s="3" t="str">
        <f t="shared" si="0"/>
        <v>neutral</v>
      </c>
    </row>
    <row r="51" spans="1:10" hidden="1" x14ac:dyDescent="0.35">
      <c r="A51" s="2" t="s">
        <v>54</v>
      </c>
      <c r="B51" s="2" t="s">
        <v>10</v>
      </c>
      <c r="C51" s="2" t="s">
        <v>44</v>
      </c>
      <c r="D51" s="2" t="s">
        <v>12</v>
      </c>
      <c r="E51" s="2">
        <v>48</v>
      </c>
      <c r="F51" s="2">
        <v>48</v>
      </c>
      <c r="G51" s="2">
        <v>0</v>
      </c>
      <c r="H51" s="2" t="s">
        <v>13</v>
      </c>
      <c r="I51" s="2">
        <v>0.66907010000431899</v>
      </c>
      <c r="J51" s="3" t="str">
        <f t="shared" si="0"/>
        <v>neutral</v>
      </c>
    </row>
    <row r="52" spans="1:10" hidden="1" x14ac:dyDescent="0.35">
      <c r="A52" s="2" t="s">
        <v>23</v>
      </c>
      <c r="B52" s="2" t="s">
        <v>10</v>
      </c>
      <c r="C52" s="2" t="s">
        <v>16</v>
      </c>
      <c r="D52" s="2" t="s">
        <v>17</v>
      </c>
      <c r="E52" s="2">
        <v>49</v>
      </c>
      <c r="F52" s="2">
        <v>49</v>
      </c>
      <c r="G52" s="2">
        <v>0</v>
      </c>
      <c r="H52" s="2" t="s">
        <v>18</v>
      </c>
      <c r="I52" s="2">
        <v>0.52839819999644499</v>
      </c>
      <c r="J52" s="3" t="str">
        <f t="shared" si="0"/>
        <v>neutral</v>
      </c>
    </row>
    <row r="53" spans="1:10" x14ac:dyDescent="0.35">
      <c r="A53" s="2" t="s">
        <v>28</v>
      </c>
      <c r="B53" s="2" t="s">
        <v>15</v>
      </c>
      <c r="C53" s="2" t="s">
        <v>27</v>
      </c>
      <c r="D53" s="2" t="s">
        <v>17</v>
      </c>
      <c r="E53" s="2">
        <v>50</v>
      </c>
      <c r="F53" s="2">
        <v>50</v>
      </c>
      <c r="G53" s="2">
        <v>0</v>
      </c>
      <c r="H53" s="2" t="s">
        <v>18</v>
      </c>
      <c r="I53" s="2">
        <v>1.1141907999990499</v>
      </c>
      <c r="J53" s="3" t="str">
        <f t="shared" si="0"/>
        <v>inconsistent</v>
      </c>
    </row>
    <row r="54" spans="1:10" x14ac:dyDescent="0.35">
      <c r="A54" s="2" t="s">
        <v>57</v>
      </c>
      <c r="B54" s="2" t="s">
        <v>22</v>
      </c>
      <c r="C54" s="2" t="s">
        <v>55</v>
      </c>
      <c r="D54" s="2" t="s">
        <v>12</v>
      </c>
      <c r="E54" s="2">
        <v>51</v>
      </c>
      <c r="F54" s="2">
        <v>51</v>
      </c>
      <c r="G54" s="2">
        <v>0</v>
      </c>
      <c r="H54" s="2" t="s">
        <v>13</v>
      </c>
      <c r="I54" s="2">
        <v>0.575553000031504</v>
      </c>
      <c r="J54" s="3" t="str">
        <f t="shared" si="0"/>
        <v>inconsistent</v>
      </c>
    </row>
    <row r="55" spans="1:10" hidden="1" x14ac:dyDescent="0.35">
      <c r="A55" s="2" t="s">
        <v>51</v>
      </c>
      <c r="B55" s="2" t="s">
        <v>10</v>
      </c>
      <c r="C55" s="2" t="s">
        <v>56</v>
      </c>
      <c r="D55" s="2" t="s">
        <v>17</v>
      </c>
      <c r="E55" s="2">
        <v>52</v>
      </c>
      <c r="F55" s="2">
        <v>52</v>
      </c>
      <c r="G55" s="2">
        <v>0</v>
      </c>
      <c r="H55" s="2" t="s">
        <v>18</v>
      </c>
      <c r="I55" s="2">
        <v>0.69104689999949098</v>
      </c>
      <c r="J55" s="3" t="str">
        <f t="shared" si="0"/>
        <v>neutral</v>
      </c>
    </row>
    <row r="56" spans="1:10" x14ac:dyDescent="0.35">
      <c r="A56" s="2" t="s">
        <v>30</v>
      </c>
      <c r="B56" s="2" t="s">
        <v>22</v>
      </c>
      <c r="C56" s="2" t="s">
        <v>31</v>
      </c>
      <c r="D56" s="2" t="s">
        <v>17</v>
      </c>
      <c r="E56" s="2">
        <v>53</v>
      </c>
      <c r="F56" s="2">
        <v>53</v>
      </c>
      <c r="G56" s="2">
        <v>0</v>
      </c>
      <c r="H56" s="2" t="s">
        <v>18</v>
      </c>
      <c r="I56" s="2">
        <v>0.56512329995166499</v>
      </c>
      <c r="J56" s="3" t="str">
        <f t="shared" si="0"/>
        <v>consistent</v>
      </c>
    </row>
    <row r="57" spans="1:10" x14ac:dyDescent="0.35">
      <c r="A57" s="2" t="s">
        <v>21</v>
      </c>
      <c r="B57" s="2" t="s">
        <v>22</v>
      </c>
      <c r="C57" s="2" t="s">
        <v>20</v>
      </c>
      <c r="D57" s="2" t="s">
        <v>17</v>
      </c>
      <c r="E57" s="2">
        <v>54</v>
      </c>
      <c r="F57" s="2">
        <v>0</v>
      </c>
      <c r="G57" s="2">
        <v>1</v>
      </c>
      <c r="H57" s="2" t="s">
        <v>18</v>
      </c>
      <c r="I57" s="2">
        <v>0.549681900010909</v>
      </c>
      <c r="J57" s="3" t="str">
        <f t="shared" si="0"/>
        <v>consistent</v>
      </c>
    </row>
    <row r="58" spans="1:10" hidden="1" x14ac:dyDescent="0.35">
      <c r="A58" s="2" t="s">
        <v>54</v>
      </c>
      <c r="B58" s="2" t="s">
        <v>10</v>
      </c>
      <c r="C58" s="2" t="s">
        <v>44</v>
      </c>
      <c r="D58" s="2" t="s">
        <v>12</v>
      </c>
      <c r="E58" s="2">
        <v>55</v>
      </c>
      <c r="F58" s="2">
        <v>1</v>
      </c>
      <c r="G58" s="2">
        <v>1</v>
      </c>
      <c r="H58" s="2" t="s">
        <v>13</v>
      </c>
      <c r="I58" s="2">
        <v>0.44205559999681998</v>
      </c>
      <c r="J58" s="3" t="str">
        <f t="shared" si="0"/>
        <v>neutral</v>
      </c>
    </row>
    <row r="59" spans="1:10" x14ac:dyDescent="0.35">
      <c r="A59" s="2" t="s">
        <v>62</v>
      </c>
      <c r="B59" s="2" t="s">
        <v>15</v>
      </c>
      <c r="C59" s="2" t="s">
        <v>36</v>
      </c>
      <c r="D59" s="2" t="s">
        <v>17</v>
      </c>
      <c r="E59" s="2">
        <v>56</v>
      </c>
      <c r="F59" s="2">
        <v>2</v>
      </c>
      <c r="G59" s="2">
        <v>1</v>
      </c>
      <c r="H59" s="2" t="s">
        <v>18</v>
      </c>
      <c r="I59" s="2">
        <v>0.55518470000242803</v>
      </c>
      <c r="J59" s="3" t="str">
        <f t="shared" si="0"/>
        <v>inconsistent</v>
      </c>
    </row>
    <row r="60" spans="1:10" hidden="1" x14ac:dyDescent="0.35">
      <c r="A60" s="2" t="s">
        <v>19</v>
      </c>
      <c r="B60" s="2" t="s">
        <v>10</v>
      </c>
      <c r="C60" s="2" t="s">
        <v>59</v>
      </c>
      <c r="D60" s="2" t="s">
        <v>12</v>
      </c>
      <c r="E60" s="2">
        <v>57</v>
      </c>
      <c r="F60" s="2">
        <v>3</v>
      </c>
      <c r="G60" s="2">
        <v>1</v>
      </c>
      <c r="H60" s="2" t="s">
        <v>13</v>
      </c>
      <c r="I60" s="2">
        <v>0.52205970004433699</v>
      </c>
      <c r="J60" s="3" t="str">
        <f t="shared" si="0"/>
        <v>neutral</v>
      </c>
    </row>
    <row r="61" spans="1:10" x14ac:dyDescent="0.35">
      <c r="A61" s="2" t="s">
        <v>32</v>
      </c>
      <c r="B61" s="2" t="s">
        <v>15</v>
      </c>
      <c r="C61" s="2" t="s">
        <v>31</v>
      </c>
      <c r="D61" s="2" t="s">
        <v>17</v>
      </c>
      <c r="E61" s="2">
        <v>58</v>
      </c>
      <c r="F61" s="2">
        <v>4</v>
      </c>
      <c r="G61" s="2">
        <v>1</v>
      </c>
      <c r="H61" s="2" t="s">
        <v>18</v>
      </c>
      <c r="I61" s="2">
        <v>0.59522140002809398</v>
      </c>
      <c r="J61" s="3" t="str">
        <f t="shared" si="0"/>
        <v>inconsistent</v>
      </c>
    </row>
    <row r="62" spans="1:10" hidden="1" x14ac:dyDescent="0.35">
      <c r="A62" s="2" t="s">
        <v>45</v>
      </c>
      <c r="B62" s="2" t="s">
        <v>10</v>
      </c>
      <c r="C62" s="2" t="s">
        <v>31</v>
      </c>
      <c r="D62" s="2" t="s">
        <v>17</v>
      </c>
      <c r="E62" s="2">
        <v>59</v>
      </c>
      <c r="F62" s="2">
        <v>5</v>
      </c>
      <c r="G62" s="2">
        <v>1</v>
      </c>
      <c r="H62" s="2" t="s">
        <v>18</v>
      </c>
      <c r="I62" s="2">
        <v>0.78110309998737604</v>
      </c>
      <c r="J62" s="3" t="str">
        <f t="shared" si="0"/>
        <v>neutral</v>
      </c>
    </row>
    <row r="63" spans="1:10" x14ac:dyDescent="0.35">
      <c r="A63" s="2" t="s">
        <v>50</v>
      </c>
      <c r="B63" s="2" t="s">
        <v>15</v>
      </c>
      <c r="C63" s="2" t="s">
        <v>59</v>
      </c>
      <c r="D63" s="2" t="s">
        <v>12</v>
      </c>
      <c r="E63" s="2">
        <v>60</v>
      </c>
      <c r="F63" s="2">
        <v>6</v>
      </c>
      <c r="G63" s="2">
        <v>1</v>
      </c>
      <c r="H63" s="2" t="s">
        <v>13</v>
      </c>
      <c r="I63" s="2">
        <v>0.46737119997851501</v>
      </c>
      <c r="J63" s="3" t="str">
        <f t="shared" si="0"/>
        <v>consistent</v>
      </c>
    </row>
    <row r="64" spans="1:10" x14ac:dyDescent="0.35">
      <c r="A64" s="2" t="s">
        <v>35</v>
      </c>
      <c r="B64" s="2" t="s">
        <v>22</v>
      </c>
      <c r="C64" s="2" t="s">
        <v>36</v>
      </c>
      <c r="D64" s="2" t="s">
        <v>17</v>
      </c>
      <c r="E64" s="2">
        <v>61</v>
      </c>
      <c r="F64" s="2">
        <v>7</v>
      </c>
      <c r="G64" s="2">
        <v>1</v>
      </c>
      <c r="H64" s="2" t="s">
        <v>18</v>
      </c>
      <c r="I64" s="2">
        <v>0.54260250000515897</v>
      </c>
      <c r="J64" s="3" t="str">
        <f t="shared" si="0"/>
        <v>consistent</v>
      </c>
    </row>
    <row r="65" spans="1:10" hidden="1" x14ac:dyDescent="0.35">
      <c r="A65" s="2" t="s">
        <v>9</v>
      </c>
      <c r="B65" s="2" t="s">
        <v>10</v>
      </c>
      <c r="C65" s="2" t="s">
        <v>11</v>
      </c>
      <c r="D65" s="2" t="s">
        <v>12</v>
      </c>
      <c r="E65" s="2">
        <v>62</v>
      </c>
      <c r="F65" s="2">
        <v>8</v>
      </c>
      <c r="G65" s="2">
        <v>1</v>
      </c>
      <c r="H65" s="2" t="s">
        <v>13</v>
      </c>
      <c r="I65" s="2">
        <v>0.60546419996535406</v>
      </c>
      <c r="J65" s="3" t="str">
        <f t="shared" si="0"/>
        <v>neutral</v>
      </c>
    </row>
    <row r="66" spans="1:10" x14ac:dyDescent="0.35">
      <c r="A66" s="2" t="s">
        <v>26</v>
      </c>
      <c r="B66" s="2" t="s">
        <v>22</v>
      </c>
      <c r="C66" s="2" t="s">
        <v>27</v>
      </c>
      <c r="D66" s="2" t="s">
        <v>17</v>
      </c>
      <c r="E66" s="2">
        <v>63</v>
      </c>
      <c r="F66" s="2">
        <v>9</v>
      </c>
      <c r="G66" s="2">
        <v>1</v>
      </c>
      <c r="H66" s="2" t="s">
        <v>18</v>
      </c>
      <c r="I66" s="2">
        <v>0.55142709997016903</v>
      </c>
      <c r="J66" s="3" t="str">
        <f t="shared" si="0"/>
        <v>consistent</v>
      </c>
    </row>
    <row r="67" spans="1:10" x14ac:dyDescent="0.35">
      <c r="A67" s="2" t="s">
        <v>47</v>
      </c>
      <c r="B67" s="2" t="s">
        <v>22</v>
      </c>
      <c r="C67" s="2" t="s">
        <v>37</v>
      </c>
      <c r="D67" s="2" t="s">
        <v>17</v>
      </c>
      <c r="E67" s="2">
        <v>64</v>
      </c>
      <c r="F67" s="2">
        <v>10</v>
      </c>
      <c r="G67" s="2">
        <v>1</v>
      </c>
      <c r="H67" s="2" t="s">
        <v>18</v>
      </c>
      <c r="I67" s="2">
        <v>0.42061749997083098</v>
      </c>
      <c r="J67" s="3" t="str">
        <f t="shared" si="0"/>
        <v>consistent</v>
      </c>
    </row>
    <row r="68" spans="1:10" x14ac:dyDescent="0.35">
      <c r="A68" s="2" t="s">
        <v>48</v>
      </c>
      <c r="B68" s="2" t="s">
        <v>15</v>
      </c>
      <c r="C68" s="2" t="s">
        <v>56</v>
      </c>
      <c r="D68" s="2" t="s">
        <v>17</v>
      </c>
      <c r="E68" s="2">
        <v>65</v>
      </c>
      <c r="F68" s="2">
        <v>11</v>
      </c>
      <c r="G68" s="2">
        <v>1</v>
      </c>
      <c r="H68" s="2" t="s">
        <v>18</v>
      </c>
      <c r="I68" s="2">
        <v>0.36541379999835</v>
      </c>
      <c r="J68" s="3" t="str">
        <f t="shared" ref="J68:J109" si="1">IF(OR(AND(B68="masculine",D68="male"), AND(B68="feminine",D68="female")), "consistent",
IF(OR(AND(B68="masculine",D68="female"), AND(B68="feminine",D68="male")), "inconsistent","neutral"))</f>
        <v>inconsistent</v>
      </c>
    </row>
    <row r="69" spans="1:10" hidden="1" x14ac:dyDescent="0.35">
      <c r="A69" s="2" t="s">
        <v>38</v>
      </c>
      <c r="B69" s="2" t="s">
        <v>10</v>
      </c>
      <c r="C69" s="2" t="s">
        <v>41</v>
      </c>
      <c r="D69" s="2" t="s">
        <v>12</v>
      </c>
      <c r="E69" s="2">
        <v>66</v>
      </c>
      <c r="F69" s="2">
        <v>12</v>
      </c>
      <c r="G69" s="2">
        <v>1</v>
      </c>
      <c r="H69" s="2" t="s">
        <v>13</v>
      </c>
      <c r="I69" s="2">
        <v>0.57963890000246399</v>
      </c>
      <c r="J69" s="3" t="str">
        <f t="shared" si="1"/>
        <v>neutral</v>
      </c>
    </row>
    <row r="70" spans="1:10" x14ac:dyDescent="0.35">
      <c r="A70" s="2" t="s">
        <v>62</v>
      </c>
      <c r="B70" s="2" t="s">
        <v>15</v>
      </c>
      <c r="C70" s="2" t="s">
        <v>42</v>
      </c>
      <c r="D70" s="2" t="s">
        <v>12</v>
      </c>
      <c r="E70" s="2">
        <v>67</v>
      </c>
      <c r="F70" s="2">
        <v>13</v>
      </c>
      <c r="G70" s="2">
        <v>1</v>
      </c>
      <c r="H70" s="2" t="s">
        <v>13</v>
      </c>
      <c r="I70" s="2">
        <v>0.435276699950918</v>
      </c>
      <c r="J70" s="3" t="str">
        <f t="shared" si="1"/>
        <v>consistent</v>
      </c>
    </row>
    <row r="71" spans="1:10" x14ac:dyDescent="0.35">
      <c r="A71" s="2" t="s">
        <v>14</v>
      </c>
      <c r="B71" s="2" t="s">
        <v>15</v>
      </c>
      <c r="C71" s="2" t="s">
        <v>24</v>
      </c>
      <c r="D71" s="2" t="s">
        <v>12</v>
      </c>
      <c r="E71" s="2">
        <v>68</v>
      </c>
      <c r="F71" s="2">
        <v>14</v>
      </c>
      <c r="G71" s="2">
        <v>1</v>
      </c>
      <c r="H71" s="2" t="s">
        <v>13</v>
      </c>
      <c r="I71" s="2">
        <v>0.44864019996020899</v>
      </c>
      <c r="J71" s="3" t="str">
        <f t="shared" si="1"/>
        <v>consistent</v>
      </c>
    </row>
    <row r="72" spans="1:10" x14ac:dyDescent="0.35">
      <c r="A72" s="2" t="s">
        <v>47</v>
      </c>
      <c r="B72" s="2" t="s">
        <v>22</v>
      </c>
      <c r="C72" s="2" t="s">
        <v>11</v>
      </c>
      <c r="D72" s="2" t="s">
        <v>12</v>
      </c>
      <c r="E72" s="2">
        <v>69</v>
      </c>
      <c r="F72" s="2">
        <v>15</v>
      </c>
      <c r="G72" s="2">
        <v>1</v>
      </c>
      <c r="H72" s="2" t="s">
        <v>13</v>
      </c>
      <c r="I72" s="2">
        <v>0.49253290001070099</v>
      </c>
      <c r="J72" s="3" t="str">
        <f t="shared" si="1"/>
        <v>inconsistent</v>
      </c>
    </row>
    <row r="73" spans="1:10" hidden="1" x14ac:dyDescent="0.35">
      <c r="A73" s="2" t="s">
        <v>19</v>
      </c>
      <c r="B73" s="2" t="s">
        <v>10</v>
      </c>
      <c r="C73" s="2" t="s">
        <v>20</v>
      </c>
      <c r="D73" s="2" t="s">
        <v>17</v>
      </c>
      <c r="E73" s="2">
        <v>70</v>
      </c>
      <c r="F73" s="2">
        <v>16</v>
      </c>
      <c r="G73" s="2">
        <v>1</v>
      </c>
      <c r="H73" s="2" t="s">
        <v>18</v>
      </c>
      <c r="I73" s="2">
        <v>0.36844190000556398</v>
      </c>
      <c r="J73" s="3" t="str">
        <f t="shared" si="1"/>
        <v>neutral</v>
      </c>
    </row>
    <row r="74" spans="1:10" hidden="1" x14ac:dyDescent="0.35">
      <c r="A74" s="2" t="s">
        <v>38</v>
      </c>
      <c r="B74" s="2" t="s">
        <v>10</v>
      </c>
      <c r="C74" s="2" t="s">
        <v>39</v>
      </c>
      <c r="D74" s="2" t="s">
        <v>17</v>
      </c>
      <c r="E74" s="2">
        <v>71</v>
      </c>
      <c r="F74" s="2">
        <v>17</v>
      </c>
      <c r="G74" s="2">
        <v>1</v>
      </c>
      <c r="H74" s="2" t="s">
        <v>18</v>
      </c>
      <c r="I74" s="2">
        <v>0.542878100008238</v>
      </c>
      <c r="J74" s="3" t="str">
        <f t="shared" si="1"/>
        <v>neutral</v>
      </c>
    </row>
    <row r="75" spans="1:10" x14ac:dyDescent="0.35">
      <c r="A75" s="2" t="s">
        <v>30</v>
      </c>
      <c r="B75" s="2" t="s">
        <v>22</v>
      </c>
      <c r="C75" s="2" t="s">
        <v>31</v>
      </c>
      <c r="D75" s="2" t="s">
        <v>17</v>
      </c>
      <c r="E75" s="2">
        <v>72</v>
      </c>
      <c r="F75" s="2">
        <v>18</v>
      </c>
      <c r="G75" s="2">
        <v>1</v>
      </c>
      <c r="H75" s="2" t="s">
        <v>18</v>
      </c>
      <c r="I75" s="2">
        <v>0.439634699956513</v>
      </c>
      <c r="J75" s="3" t="str">
        <f t="shared" si="1"/>
        <v>consistent</v>
      </c>
    </row>
    <row r="76" spans="1:10" x14ac:dyDescent="0.35">
      <c r="A76" s="2" t="s">
        <v>28</v>
      </c>
      <c r="B76" s="2" t="s">
        <v>15</v>
      </c>
      <c r="C76" s="2" t="s">
        <v>27</v>
      </c>
      <c r="D76" s="2" t="s">
        <v>17</v>
      </c>
      <c r="E76" s="2">
        <v>73</v>
      </c>
      <c r="F76" s="2">
        <v>19</v>
      </c>
      <c r="G76" s="2">
        <v>1</v>
      </c>
      <c r="H76" s="2" t="s">
        <v>18</v>
      </c>
      <c r="I76" s="2">
        <v>0.380692200036719</v>
      </c>
      <c r="J76" s="3" t="str">
        <f t="shared" si="1"/>
        <v>inconsistent</v>
      </c>
    </row>
    <row r="77" spans="1:10" x14ac:dyDescent="0.35">
      <c r="A77" s="2" t="s">
        <v>26</v>
      </c>
      <c r="B77" s="2" t="s">
        <v>22</v>
      </c>
      <c r="C77" s="2" t="s">
        <v>29</v>
      </c>
      <c r="D77" s="2" t="s">
        <v>12</v>
      </c>
      <c r="E77" s="2">
        <v>74</v>
      </c>
      <c r="F77" s="2">
        <v>20</v>
      </c>
      <c r="G77" s="2">
        <v>1</v>
      </c>
      <c r="H77" s="2" t="s">
        <v>13</v>
      </c>
      <c r="I77" s="2">
        <v>0.44423580000875501</v>
      </c>
      <c r="J77" s="3" t="str">
        <f t="shared" si="1"/>
        <v>inconsistent</v>
      </c>
    </row>
    <row r="78" spans="1:10" x14ac:dyDescent="0.35">
      <c r="A78" s="2" t="s">
        <v>48</v>
      </c>
      <c r="B78" s="2" t="s">
        <v>15</v>
      </c>
      <c r="C78" s="2" t="s">
        <v>49</v>
      </c>
      <c r="D78" s="2" t="s">
        <v>12</v>
      </c>
      <c r="E78" s="2">
        <v>75</v>
      </c>
      <c r="F78" s="2">
        <v>21</v>
      </c>
      <c r="G78" s="2">
        <v>1</v>
      </c>
      <c r="H78" s="2" t="s">
        <v>13</v>
      </c>
      <c r="I78" s="2">
        <v>0.514531199994962</v>
      </c>
      <c r="J78" s="3" t="str">
        <f t="shared" si="1"/>
        <v>consistent</v>
      </c>
    </row>
    <row r="79" spans="1:10" x14ac:dyDescent="0.35">
      <c r="A79" s="2" t="s">
        <v>40</v>
      </c>
      <c r="B79" s="2" t="s">
        <v>22</v>
      </c>
      <c r="C79" s="2" t="s">
        <v>41</v>
      </c>
      <c r="D79" s="2" t="s">
        <v>12</v>
      </c>
      <c r="E79" s="2">
        <v>76</v>
      </c>
      <c r="F79" s="2">
        <v>22</v>
      </c>
      <c r="G79" s="2">
        <v>1</v>
      </c>
      <c r="H79" s="2" t="s">
        <v>13</v>
      </c>
      <c r="I79" s="2">
        <v>0.56611559999873795</v>
      </c>
      <c r="J79" s="3" t="str">
        <f t="shared" si="1"/>
        <v>inconsistent</v>
      </c>
    </row>
    <row r="80" spans="1:10" hidden="1" x14ac:dyDescent="0.35">
      <c r="A80" s="2" t="s">
        <v>58</v>
      </c>
      <c r="B80" s="2" t="s">
        <v>10</v>
      </c>
      <c r="C80" s="2" t="s">
        <v>36</v>
      </c>
      <c r="D80" s="2" t="s">
        <v>17</v>
      </c>
      <c r="E80" s="2">
        <v>77</v>
      </c>
      <c r="F80" s="2">
        <v>23</v>
      </c>
      <c r="G80" s="2">
        <v>1</v>
      </c>
      <c r="H80" s="2" t="s">
        <v>18</v>
      </c>
      <c r="I80" s="2">
        <v>0.79361749999225095</v>
      </c>
      <c r="J80" s="3" t="str">
        <f t="shared" si="1"/>
        <v>neutral</v>
      </c>
    </row>
    <row r="81" spans="1:10" hidden="1" x14ac:dyDescent="0.35">
      <c r="A81" s="2" t="s">
        <v>54</v>
      </c>
      <c r="B81" s="2" t="s">
        <v>10</v>
      </c>
      <c r="C81" s="2" t="s">
        <v>60</v>
      </c>
      <c r="D81" s="2" t="s">
        <v>17</v>
      </c>
      <c r="E81" s="2">
        <v>78</v>
      </c>
      <c r="F81" s="2">
        <v>24</v>
      </c>
      <c r="G81" s="2">
        <v>1</v>
      </c>
      <c r="H81" s="2" t="s">
        <v>18</v>
      </c>
      <c r="I81" s="2">
        <v>0.72559519996866495</v>
      </c>
      <c r="J81" s="3" t="str">
        <f t="shared" si="1"/>
        <v>neutral</v>
      </c>
    </row>
    <row r="82" spans="1:10" x14ac:dyDescent="0.35">
      <c r="A82" s="2" t="s">
        <v>35</v>
      </c>
      <c r="B82" s="2" t="s">
        <v>22</v>
      </c>
      <c r="C82" s="2" t="s">
        <v>42</v>
      </c>
      <c r="D82" s="2" t="s">
        <v>12</v>
      </c>
      <c r="E82" s="2">
        <v>79</v>
      </c>
      <c r="F82" s="2">
        <v>25</v>
      </c>
      <c r="G82" s="2">
        <v>1</v>
      </c>
      <c r="H82" s="2" t="s">
        <v>13</v>
      </c>
      <c r="I82" s="2">
        <v>0.49497380002867403</v>
      </c>
      <c r="J82" s="3" t="str">
        <f t="shared" si="1"/>
        <v>inconsistent</v>
      </c>
    </row>
    <row r="83" spans="1:10" x14ac:dyDescent="0.35">
      <c r="A83" s="2" t="s">
        <v>32</v>
      </c>
      <c r="B83" s="2" t="s">
        <v>15</v>
      </c>
      <c r="C83" s="2" t="s">
        <v>33</v>
      </c>
      <c r="D83" s="2" t="s">
        <v>12</v>
      </c>
      <c r="E83" s="2">
        <v>80</v>
      </c>
      <c r="F83" s="2">
        <v>26</v>
      </c>
      <c r="G83" s="2">
        <v>1</v>
      </c>
      <c r="H83" s="2" t="s">
        <v>13</v>
      </c>
      <c r="I83" s="2">
        <v>0.56622460001381103</v>
      </c>
      <c r="J83" s="3" t="str">
        <f t="shared" si="1"/>
        <v>consistent</v>
      </c>
    </row>
    <row r="84" spans="1:10" hidden="1" x14ac:dyDescent="0.35">
      <c r="A84" s="2" t="s">
        <v>45</v>
      </c>
      <c r="B84" s="2" t="s">
        <v>10</v>
      </c>
      <c r="C84" s="2" t="s">
        <v>33</v>
      </c>
      <c r="D84" s="2" t="s">
        <v>12</v>
      </c>
      <c r="E84" s="2">
        <v>81</v>
      </c>
      <c r="F84" s="2">
        <v>27</v>
      </c>
      <c r="G84" s="2">
        <v>1</v>
      </c>
      <c r="H84" s="2" t="s">
        <v>13</v>
      </c>
      <c r="I84" s="2">
        <v>0.449489199963863</v>
      </c>
      <c r="J84" s="3" t="str">
        <f t="shared" si="1"/>
        <v>neutral</v>
      </c>
    </row>
    <row r="85" spans="1:10" x14ac:dyDescent="0.35">
      <c r="A85" s="2" t="s">
        <v>61</v>
      </c>
      <c r="B85" s="2" t="s">
        <v>22</v>
      </c>
      <c r="C85" s="2" t="s">
        <v>60</v>
      </c>
      <c r="D85" s="2" t="s">
        <v>17</v>
      </c>
      <c r="E85" s="2">
        <v>82</v>
      </c>
      <c r="F85" s="2">
        <v>28</v>
      </c>
      <c r="G85" s="2">
        <v>1</v>
      </c>
      <c r="H85" s="2" t="s">
        <v>18</v>
      </c>
      <c r="I85" s="2">
        <v>0.39688489999389198</v>
      </c>
      <c r="J85" s="3" t="str">
        <f t="shared" si="1"/>
        <v>consistent</v>
      </c>
    </row>
    <row r="86" spans="1:10" x14ac:dyDescent="0.35">
      <c r="A86" s="2" t="s">
        <v>43</v>
      </c>
      <c r="B86" s="2" t="s">
        <v>15</v>
      </c>
      <c r="C86" s="2" t="s">
        <v>44</v>
      </c>
      <c r="D86" s="2" t="s">
        <v>12</v>
      </c>
      <c r="E86" s="2">
        <v>83</v>
      </c>
      <c r="F86" s="2">
        <v>29</v>
      </c>
      <c r="G86" s="2">
        <v>1</v>
      </c>
      <c r="H86" s="2" t="s">
        <v>13</v>
      </c>
      <c r="I86" s="2">
        <v>0.38994339999044297</v>
      </c>
      <c r="J86" s="3" t="str">
        <f t="shared" si="1"/>
        <v>consistent</v>
      </c>
    </row>
    <row r="87" spans="1:10" x14ac:dyDescent="0.35">
      <c r="A87" s="2" t="s">
        <v>46</v>
      </c>
      <c r="B87" s="2" t="s">
        <v>15</v>
      </c>
      <c r="C87" s="2" t="s">
        <v>39</v>
      </c>
      <c r="D87" s="2" t="s">
        <v>17</v>
      </c>
      <c r="E87" s="2">
        <v>85</v>
      </c>
      <c r="F87" s="2">
        <v>31</v>
      </c>
      <c r="G87" s="2">
        <v>1</v>
      </c>
      <c r="H87" s="2" t="s">
        <v>18</v>
      </c>
      <c r="I87" s="2">
        <v>0.65330320002976805</v>
      </c>
      <c r="J87" s="3" t="str">
        <f t="shared" si="1"/>
        <v>inconsistent</v>
      </c>
    </row>
    <row r="88" spans="1:10" hidden="1" x14ac:dyDescent="0.35">
      <c r="A88" s="2" t="s">
        <v>58</v>
      </c>
      <c r="B88" s="2" t="s">
        <v>10</v>
      </c>
      <c r="C88" s="2" t="s">
        <v>42</v>
      </c>
      <c r="D88" s="2" t="s">
        <v>12</v>
      </c>
      <c r="E88" s="2">
        <v>86</v>
      </c>
      <c r="F88" s="2">
        <v>32</v>
      </c>
      <c r="G88" s="2">
        <v>1</v>
      </c>
      <c r="H88" s="2" t="s">
        <v>13</v>
      </c>
      <c r="I88" s="2">
        <v>0.46016850002342802</v>
      </c>
      <c r="J88" s="3" t="str">
        <f t="shared" si="1"/>
        <v>neutral</v>
      </c>
    </row>
    <row r="89" spans="1:10" x14ac:dyDescent="0.35">
      <c r="A89" s="2" t="s">
        <v>61</v>
      </c>
      <c r="B89" s="2" t="s">
        <v>22</v>
      </c>
      <c r="C89" s="2" t="s">
        <v>44</v>
      </c>
      <c r="D89" s="2" t="s">
        <v>12</v>
      </c>
      <c r="E89" s="2">
        <v>87</v>
      </c>
      <c r="F89" s="2">
        <v>33</v>
      </c>
      <c r="G89" s="2">
        <v>1</v>
      </c>
      <c r="H89" s="2" t="s">
        <v>13</v>
      </c>
      <c r="I89" s="2">
        <v>0.63328269997145903</v>
      </c>
      <c r="J89" s="3" t="str">
        <f t="shared" si="1"/>
        <v>inconsistent</v>
      </c>
    </row>
    <row r="90" spans="1:10" x14ac:dyDescent="0.35">
      <c r="A90" s="2" t="s">
        <v>30</v>
      </c>
      <c r="B90" s="2" t="s">
        <v>22</v>
      </c>
      <c r="C90" s="2" t="s">
        <v>33</v>
      </c>
      <c r="D90" s="2" t="s">
        <v>12</v>
      </c>
      <c r="E90" s="2">
        <v>88</v>
      </c>
      <c r="F90" s="2">
        <v>34</v>
      </c>
      <c r="G90" s="2">
        <v>1</v>
      </c>
      <c r="H90" s="2" t="s">
        <v>13</v>
      </c>
      <c r="I90" s="2">
        <v>0.51538050000090097</v>
      </c>
      <c r="J90" s="3" t="str">
        <f t="shared" si="1"/>
        <v>inconsistent</v>
      </c>
    </row>
    <row r="91" spans="1:10" x14ac:dyDescent="0.35">
      <c r="A91" s="2" t="s">
        <v>40</v>
      </c>
      <c r="B91" s="2" t="s">
        <v>22</v>
      </c>
      <c r="C91" s="2" t="s">
        <v>39</v>
      </c>
      <c r="D91" s="2" t="s">
        <v>17</v>
      </c>
      <c r="E91" s="2">
        <v>89</v>
      </c>
      <c r="F91" s="2">
        <v>35</v>
      </c>
      <c r="G91" s="2">
        <v>1</v>
      </c>
      <c r="H91" s="2" t="s">
        <v>18</v>
      </c>
      <c r="I91" s="2">
        <v>0.56821559998206705</v>
      </c>
      <c r="J91" s="3" t="str">
        <f t="shared" si="1"/>
        <v>consistent</v>
      </c>
    </row>
    <row r="92" spans="1:10" x14ac:dyDescent="0.35">
      <c r="A92" s="2" t="s">
        <v>57</v>
      </c>
      <c r="B92" s="2" t="s">
        <v>22</v>
      </c>
      <c r="C92" s="2" t="s">
        <v>53</v>
      </c>
      <c r="D92" s="2" t="s">
        <v>17</v>
      </c>
      <c r="E92" s="2">
        <v>90</v>
      </c>
      <c r="F92" s="2">
        <v>36</v>
      </c>
      <c r="G92" s="2">
        <v>1</v>
      </c>
      <c r="H92" s="2" t="s">
        <v>18</v>
      </c>
      <c r="I92" s="2">
        <v>0.70736010000109595</v>
      </c>
      <c r="J92" s="3" t="str">
        <f t="shared" si="1"/>
        <v>consistent</v>
      </c>
    </row>
    <row r="93" spans="1:10" x14ac:dyDescent="0.35">
      <c r="A93" s="2" t="s">
        <v>50</v>
      </c>
      <c r="B93" s="2" t="s">
        <v>15</v>
      </c>
      <c r="C93" s="2" t="s">
        <v>20</v>
      </c>
      <c r="D93" s="2" t="s">
        <v>17</v>
      </c>
      <c r="E93" s="2">
        <v>91</v>
      </c>
      <c r="F93" s="2">
        <v>37</v>
      </c>
      <c r="G93" s="2">
        <v>1</v>
      </c>
      <c r="H93" s="2" t="s">
        <v>18</v>
      </c>
      <c r="I93" s="2">
        <v>0.50307609996525504</v>
      </c>
      <c r="J93" s="3" t="str">
        <f t="shared" si="1"/>
        <v>inconsistent</v>
      </c>
    </row>
    <row r="94" spans="1:10" hidden="1" x14ac:dyDescent="0.35">
      <c r="A94" s="2" t="s">
        <v>23</v>
      </c>
      <c r="B94" s="2" t="s">
        <v>10</v>
      </c>
      <c r="C94" s="2" t="s">
        <v>24</v>
      </c>
      <c r="D94" s="2" t="s">
        <v>12</v>
      </c>
      <c r="E94" s="2">
        <v>92</v>
      </c>
      <c r="F94" s="2">
        <v>38</v>
      </c>
      <c r="G94" s="2">
        <v>1</v>
      </c>
      <c r="H94" s="2" t="s">
        <v>13</v>
      </c>
      <c r="I94" s="2">
        <v>0.58120379998581395</v>
      </c>
      <c r="J94" s="3" t="str">
        <f t="shared" si="1"/>
        <v>neutral</v>
      </c>
    </row>
    <row r="95" spans="1:10" hidden="1" x14ac:dyDescent="0.35">
      <c r="A95" s="2" t="s">
        <v>9</v>
      </c>
      <c r="B95" s="2" t="s">
        <v>10</v>
      </c>
      <c r="C95" s="2" t="s">
        <v>37</v>
      </c>
      <c r="D95" s="2" t="s">
        <v>17</v>
      </c>
      <c r="E95" s="2">
        <v>93</v>
      </c>
      <c r="F95" s="2">
        <v>39</v>
      </c>
      <c r="G95" s="2">
        <v>1</v>
      </c>
      <c r="H95" s="2" t="s">
        <v>18</v>
      </c>
      <c r="I95" s="2">
        <v>0.52410380000946999</v>
      </c>
      <c r="J95" s="3" t="str">
        <f t="shared" si="1"/>
        <v>neutral</v>
      </c>
    </row>
    <row r="96" spans="1:10" x14ac:dyDescent="0.35">
      <c r="A96" s="2" t="s">
        <v>34</v>
      </c>
      <c r="B96" s="2" t="s">
        <v>15</v>
      </c>
      <c r="C96" s="2" t="s">
        <v>37</v>
      </c>
      <c r="D96" s="2" t="s">
        <v>17</v>
      </c>
      <c r="E96" s="2">
        <v>94</v>
      </c>
      <c r="F96" s="2">
        <v>40</v>
      </c>
      <c r="G96" s="2">
        <v>1</v>
      </c>
      <c r="H96" s="2" t="s">
        <v>18</v>
      </c>
      <c r="I96" s="2">
        <v>0.60946169996168398</v>
      </c>
      <c r="J96" s="3" t="str">
        <f t="shared" si="1"/>
        <v>inconsistent</v>
      </c>
    </row>
    <row r="97" spans="1:10" x14ac:dyDescent="0.35">
      <c r="A97" s="2" t="s">
        <v>28</v>
      </c>
      <c r="B97" s="2" t="s">
        <v>15</v>
      </c>
      <c r="C97" s="2" t="s">
        <v>29</v>
      </c>
      <c r="D97" s="2" t="s">
        <v>12</v>
      </c>
      <c r="E97" s="2">
        <v>95</v>
      </c>
      <c r="F97" s="2">
        <v>41</v>
      </c>
      <c r="G97" s="2">
        <v>1</v>
      </c>
      <c r="H97" s="2" t="s">
        <v>13</v>
      </c>
      <c r="I97" s="2">
        <v>0.56496220000553798</v>
      </c>
      <c r="J97" s="3" t="str">
        <f t="shared" si="1"/>
        <v>consistent</v>
      </c>
    </row>
    <row r="98" spans="1:10" x14ac:dyDescent="0.35">
      <c r="A98" s="2" t="s">
        <v>14</v>
      </c>
      <c r="B98" s="2" t="s">
        <v>15</v>
      </c>
      <c r="C98" s="2" t="s">
        <v>16</v>
      </c>
      <c r="D98" s="2" t="s">
        <v>17</v>
      </c>
      <c r="E98" s="2">
        <v>96</v>
      </c>
      <c r="F98" s="2">
        <v>42</v>
      </c>
      <c r="G98" s="2">
        <v>1</v>
      </c>
      <c r="H98" s="2" t="s">
        <v>18</v>
      </c>
      <c r="I98" s="2">
        <v>0.62707040004897796</v>
      </c>
      <c r="J98" s="3" t="str">
        <f t="shared" si="1"/>
        <v>inconsistent</v>
      </c>
    </row>
    <row r="99" spans="1:10" x14ac:dyDescent="0.35">
      <c r="A99" s="2" t="s">
        <v>57</v>
      </c>
      <c r="B99" s="2" t="s">
        <v>22</v>
      </c>
      <c r="C99" s="2" t="s">
        <v>55</v>
      </c>
      <c r="D99" s="2" t="s">
        <v>12</v>
      </c>
      <c r="E99" s="2">
        <v>97</v>
      </c>
      <c r="F99" s="2">
        <v>43</v>
      </c>
      <c r="G99" s="2">
        <v>1</v>
      </c>
      <c r="H99" s="2" t="s">
        <v>13</v>
      </c>
      <c r="I99" s="2">
        <v>0.54527390003204301</v>
      </c>
      <c r="J99" s="3" t="str">
        <f t="shared" si="1"/>
        <v>inconsistent</v>
      </c>
    </row>
    <row r="100" spans="1:10" x14ac:dyDescent="0.35">
      <c r="A100" s="2" t="s">
        <v>52</v>
      </c>
      <c r="B100" s="2" t="s">
        <v>15</v>
      </c>
      <c r="C100" s="2" t="s">
        <v>53</v>
      </c>
      <c r="D100" s="2" t="s">
        <v>17</v>
      </c>
      <c r="E100" s="2">
        <v>98</v>
      </c>
      <c r="F100" s="2">
        <v>44</v>
      </c>
      <c r="G100" s="2">
        <v>1</v>
      </c>
      <c r="H100" s="2" t="s">
        <v>18</v>
      </c>
      <c r="I100" s="2">
        <v>0.45497969997813897</v>
      </c>
      <c r="J100" s="3" t="str">
        <f t="shared" si="1"/>
        <v>inconsistent</v>
      </c>
    </row>
    <row r="101" spans="1:10" x14ac:dyDescent="0.35">
      <c r="A101" s="2" t="s">
        <v>25</v>
      </c>
      <c r="B101" s="2" t="s">
        <v>22</v>
      </c>
      <c r="C101" s="2" t="s">
        <v>16</v>
      </c>
      <c r="D101" s="2" t="s">
        <v>17</v>
      </c>
      <c r="E101" s="2">
        <v>99</v>
      </c>
      <c r="F101" s="2">
        <v>45</v>
      </c>
      <c r="G101" s="2">
        <v>1</v>
      </c>
      <c r="H101" s="2" t="s">
        <v>18</v>
      </c>
      <c r="I101" s="2">
        <v>0.49482699995860402</v>
      </c>
      <c r="J101" s="3" t="str">
        <f t="shared" si="1"/>
        <v>consistent</v>
      </c>
    </row>
    <row r="102" spans="1:10" x14ac:dyDescent="0.35">
      <c r="A102" s="2" t="s">
        <v>25</v>
      </c>
      <c r="B102" s="2" t="s">
        <v>22</v>
      </c>
      <c r="C102" s="2" t="s">
        <v>24</v>
      </c>
      <c r="D102" s="2" t="s">
        <v>12</v>
      </c>
      <c r="E102" s="2">
        <v>100</v>
      </c>
      <c r="F102" s="2">
        <v>46</v>
      </c>
      <c r="G102" s="2">
        <v>1</v>
      </c>
      <c r="H102" s="2" t="s">
        <v>13</v>
      </c>
      <c r="I102" s="2">
        <v>0.45319949998520298</v>
      </c>
      <c r="J102" s="3" t="str">
        <f t="shared" si="1"/>
        <v>inconsistent</v>
      </c>
    </row>
    <row r="103" spans="1:10" x14ac:dyDescent="0.35">
      <c r="A103" s="2" t="s">
        <v>21</v>
      </c>
      <c r="B103" s="2" t="s">
        <v>22</v>
      </c>
      <c r="C103" s="2" t="s">
        <v>59</v>
      </c>
      <c r="D103" s="2" t="s">
        <v>12</v>
      </c>
      <c r="E103" s="2">
        <v>101</v>
      </c>
      <c r="F103" s="2">
        <v>47</v>
      </c>
      <c r="G103" s="2">
        <v>1</v>
      </c>
      <c r="H103" s="2" t="s">
        <v>13</v>
      </c>
      <c r="I103" s="2">
        <v>0.473924399993848</v>
      </c>
      <c r="J103" s="3" t="str">
        <f t="shared" si="1"/>
        <v>inconsistent</v>
      </c>
    </row>
    <row r="104" spans="1:10" hidden="1" x14ac:dyDescent="0.35">
      <c r="A104" s="2" t="s">
        <v>51</v>
      </c>
      <c r="B104" s="2" t="s">
        <v>10</v>
      </c>
      <c r="C104" s="2" t="s">
        <v>56</v>
      </c>
      <c r="D104" s="2" t="s">
        <v>17</v>
      </c>
      <c r="E104" s="2">
        <v>102</v>
      </c>
      <c r="F104" s="2">
        <v>48</v>
      </c>
      <c r="G104" s="2">
        <v>1</v>
      </c>
      <c r="H104" s="2" t="s">
        <v>18</v>
      </c>
      <c r="I104" s="2">
        <v>0.46871350001310902</v>
      </c>
      <c r="J104" s="3" t="str">
        <f t="shared" si="1"/>
        <v>neutral</v>
      </c>
    </row>
    <row r="105" spans="1:10" x14ac:dyDescent="0.35">
      <c r="A105" s="2" t="s">
        <v>52</v>
      </c>
      <c r="B105" s="2" t="s">
        <v>15</v>
      </c>
      <c r="C105" s="2" t="s">
        <v>55</v>
      </c>
      <c r="D105" s="2" t="s">
        <v>12</v>
      </c>
      <c r="E105" s="2">
        <v>103</v>
      </c>
      <c r="F105" s="2">
        <v>49</v>
      </c>
      <c r="G105" s="2">
        <v>1</v>
      </c>
      <c r="H105" s="2" t="s">
        <v>13</v>
      </c>
      <c r="I105" s="2">
        <v>0.51189979998162005</v>
      </c>
      <c r="J105" s="3" t="str">
        <f t="shared" si="1"/>
        <v>consistent</v>
      </c>
    </row>
    <row r="106" spans="1:10" x14ac:dyDescent="0.35">
      <c r="A106" s="2" t="s">
        <v>46</v>
      </c>
      <c r="B106" s="2" t="s">
        <v>15</v>
      </c>
      <c r="C106" s="2" t="s">
        <v>41</v>
      </c>
      <c r="D106" s="2" t="s">
        <v>12</v>
      </c>
      <c r="E106" s="2">
        <v>104</v>
      </c>
      <c r="F106" s="2">
        <v>50</v>
      </c>
      <c r="G106" s="2">
        <v>1</v>
      </c>
      <c r="H106" s="2" t="s">
        <v>13</v>
      </c>
      <c r="I106" s="2">
        <v>0.335262100037653</v>
      </c>
      <c r="J106" s="3" t="str">
        <f t="shared" si="1"/>
        <v>consistent</v>
      </c>
    </row>
    <row r="107" spans="1:10" x14ac:dyDescent="0.35">
      <c r="A107" s="2" t="s">
        <v>34</v>
      </c>
      <c r="B107" s="2" t="s">
        <v>15</v>
      </c>
      <c r="C107" s="2" t="s">
        <v>11</v>
      </c>
      <c r="D107" s="2" t="s">
        <v>12</v>
      </c>
      <c r="E107" s="2">
        <v>105</v>
      </c>
      <c r="F107" s="2">
        <v>51</v>
      </c>
      <c r="G107" s="2">
        <v>1</v>
      </c>
      <c r="H107" s="2" t="s">
        <v>13</v>
      </c>
      <c r="I107" s="2">
        <v>0.42131390003487401</v>
      </c>
      <c r="J107" s="3" t="str">
        <f t="shared" si="1"/>
        <v>consistent</v>
      </c>
    </row>
    <row r="108" spans="1:10" hidden="1" x14ac:dyDescent="0.35">
      <c r="A108" s="2" t="s">
        <v>23</v>
      </c>
      <c r="B108" s="2" t="s">
        <v>10</v>
      </c>
      <c r="C108" s="2" t="s">
        <v>16</v>
      </c>
      <c r="D108" s="2" t="s">
        <v>17</v>
      </c>
      <c r="E108" s="2">
        <v>106</v>
      </c>
      <c r="F108" s="2">
        <v>52</v>
      </c>
      <c r="G108" s="2">
        <v>1</v>
      </c>
      <c r="H108" s="2" t="s">
        <v>18</v>
      </c>
      <c r="I108" s="2">
        <v>0.42130330001236799</v>
      </c>
      <c r="J108" s="3" t="str">
        <f t="shared" si="1"/>
        <v>neutral</v>
      </c>
    </row>
    <row r="109" spans="1:10" x14ac:dyDescent="0.35">
      <c r="A109" s="2" t="s">
        <v>43</v>
      </c>
      <c r="B109" s="2" t="s">
        <v>15</v>
      </c>
      <c r="C109" s="2" t="s">
        <v>60</v>
      </c>
      <c r="D109" s="2" t="s">
        <v>17</v>
      </c>
      <c r="E109" s="2">
        <v>107</v>
      </c>
      <c r="F109" s="2">
        <v>53</v>
      </c>
      <c r="G109" s="2">
        <v>1</v>
      </c>
      <c r="H109" s="2" t="s">
        <v>18</v>
      </c>
      <c r="I109" s="2">
        <v>0.61840560002019596</v>
      </c>
      <c r="J109" s="3" t="str">
        <f t="shared" si="1"/>
        <v>inconsistent</v>
      </c>
    </row>
  </sheetData>
  <autoFilter ref="J1:J109" xr:uid="{255CAD88-0DA1-47BB-82C7-98303B069C33}">
    <filterColumn colId="0">
      <filters blank="1">
        <filter val="consistent"/>
        <filter val="inconsisten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2C97-49DB-4063-AA3D-2ED9EDEFC1CE}">
  <sheetPr filterMode="1"/>
  <dimension ref="A1:M104"/>
  <sheetViews>
    <sheetView workbookViewId="0">
      <selection activeCell="M16" sqref="M16"/>
    </sheetView>
  </sheetViews>
  <sheetFormatPr defaultRowHeight="14.5" x14ac:dyDescent="0.35"/>
  <cols>
    <col min="9" max="9" width="13" customWidth="1"/>
    <col min="10" max="10" width="21" customWidth="1"/>
    <col min="12" max="12" width="19.36328125" customWidth="1"/>
    <col min="13" max="13" width="18" customWidth="1"/>
  </cols>
  <sheetData>
    <row r="1" spans="1:13" s="7" customFormat="1" x14ac:dyDescent="0.35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69</v>
      </c>
    </row>
    <row r="2" spans="1:13" x14ac:dyDescent="0.35">
      <c r="B2" s="2"/>
      <c r="C2" s="2"/>
      <c r="D2" s="2"/>
      <c r="E2" s="2"/>
      <c r="F2" s="2"/>
      <c r="G2" s="2"/>
      <c r="H2" s="2"/>
      <c r="I2" s="2"/>
      <c r="J2" s="4"/>
    </row>
    <row r="3" spans="1:13" x14ac:dyDescent="0.35">
      <c r="A3" t="s">
        <v>35</v>
      </c>
      <c r="B3" s="2" t="s">
        <v>22</v>
      </c>
      <c r="C3" s="2" t="s">
        <v>42</v>
      </c>
      <c r="D3" s="2" t="s">
        <v>12</v>
      </c>
      <c r="E3" s="2">
        <v>0</v>
      </c>
      <c r="F3" s="2">
        <v>0</v>
      </c>
      <c r="G3" s="2">
        <v>0</v>
      </c>
      <c r="H3" s="2" t="s">
        <v>13</v>
      </c>
      <c r="I3" s="2">
        <v>1.24699219997273</v>
      </c>
      <c r="J3" s="3" t="str">
        <f>IF(OR(AND(B3="masculine",D3="male"), AND(B3="feminine",D3="female")), "consistent",
IF(OR(AND(B3="masculine",D3="female"), AND(B3="feminine",D3="male")), "inconsistent","neutral"))</f>
        <v>inconsistent</v>
      </c>
    </row>
    <row r="4" spans="1:13" hidden="1" x14ac:dyDescent="0.35">
      <c r="A4" t="s">
        <v>54</v>
      </c>
      <c r="B4" s="2" t="s">
        <v>10</v>
      </c>
      <c r="C4" s="2" t="s">
        <v>60</v>
      </c>
      <c r="D4" s="2" t="s">
        <v>17</v>
      </c>
      <c r="E4" s="2">
        <v>2</v>
      </c>
      <c r="F4" s="2">
        <v>2</v>
      </c>
      <c r="G4" s="2">
        <v>0</v>
      </c>
      <c r="H4" s="2" t="s">
        <v>18</v>
      </c>
      <c r="I4" s="2">
        <v>0.98849799996241905</v>
      </c>
      <c r="J4" s="3" t="str">
        <f t="shared" ref="J4:J67" si="0">IF(OR(AND(B4="masculine",D4="male"), AND(B4="feminine",D4="female")), "consistent",
IF(OR(AND(B4="masculine",D4="female"), AND(B4="feminine",D4="male")), "inconsistent","neutral"))</f>
        <v>neutral</v>
      </c>
    </row>
    <row r="5" spans="1:13" x14ac:dyDescent="0.35">
      <c r="A5" t="s">
        <v>57</v>
      </c>
      <c r="B5" s="2" t="s">
        <v>22</v>
      </c>
      <c r="C5" s="2" t="s">
        <v>55</v>
      </c>
      <c r="D5" s="2" t="s">
        <v>12</v>
      </c>
      <c r="E5" s="2">
        <v>3</v>
      </c>
      <c r="F5" s="2">
        <v>3</v>
      </c>
      <c r="G5" s="2">
        <v>0</v>
      </c>
      <c r="H5" s="2" t="s">
        <v>13</v>
      </c>
      <c r="I5" s="2">
        <v>0.67735680000623599</v>
      </c>
      <c r="J5" s="3" t="str">
        <f t="shared" si="0"/>
        <v>inconsistent</v>
      </c>
    </row>
    <row r="6" spans="1:13" x14ac:dyDescent="0.35">
      <c r="A6" t="s">
        <v>26</v>
      </c>
      <c r="B6" s="2" t="s">
        <v>22</v>
      </c>
      <c r="C6" s="2" t="s">
        <v>29</v>
      </c>
      <c r="D6" s="2" t="s">
        <v>12</v>
      </c>
      <c r="E6" s="2">
        <v>4</v>
      </c>
      <c r="F6" s="2">
        <v>4</v>
      </c>
      <c r="G6" s="2">
        <v>0</v>
      </c>
      <c r="H6" s="2" t="s">
        <v>13</v>
      </c>
      <c r="I6" s="2">
        <v>0.84569129999727</v>
      </c>
      <c r="J6" s="3" t="str">
        <f t="shared" si="0"/>
        <v>inconsistent</v>
      </c>
    </row>
    <row r="7" spans="1:13" x14ac:dyDescent="0.35">
      <c r="A7" t="s">
        <v>40</v>
      </c>
      <c r="B7" s="2" t="s">
        <v>22</v>
      </c>
      <c r="C7" s="2" t="s">
        <v>41</v>
      </c>
      <c r="D7" s="2" t="s">
        <v>12</v>
      </c>
      <c r="E7" s="2">
        <v>5</v>
      </c>
      <c r="F7" s="2">
        <v>5</v>
      </c>
      <c r="G7" s="2">
        <v>0</v>
      </c>
      <c r="H7" s="2" t="s">
        <v>13</v>
      </c>
      <c r="I7" s="2">
        <v>0.11756639997474801</v>
      </c>
      <c r="J7" s="3" t="str">
        <f t="shared" si="0"/>
        <v>inconsistent</v>
      </c>
    </row>
    <row r="8" spans="1:13" x14ac:dyDescent="0.35">
      <c r="A8" t="s">
        <v>50</v>
      </c>
      <c r="B8" s="2" t="s">
        <v>15</v>
      </c>
      <c r="C8" s="2" t="s">
        <v>20</v>
      </c>
      <c r="D8" s="2" t="s">
        <v>17</v>
      </c>
      <c r="E8" s="2">
        <v>6</v>
      </c>
      <c r="F8" s="2">
        <v>6</v>
      </c>
      <c r="G8" s="2">
        <v>0</v>
      </c>
      <c r="H8" s="2" t="s">
        <v>18</v>
      </c>
      <c r="I8" s="2">
        <v>0.63164139998843805</v>
      </c>
      <c r="J8" s="3" t="str">
        <f t="shared" si="0"/>
        <v>inconsistent</v>
      </c>
      <c r="L8" s="2" t="s">
        <v>74</v>
      </c>
      <c r="M8" s="4">
        <f>AVERAGE(I3:I101)</f>
        <v>0.65170265252012816</v>
      </c>
    </row>
    <row r="9" spans="1:13" x14ac:dyDescent="0.35">
      <c r="A9" t="s">
        <v>35</v>
      </c>
      <c r="B9" s="2" t="s">
        <v>22</v>
      </c>
      <c r="C9" s="2" t="s">
        <v>36</v>
      </c>
      <c r="D9" s="2" t="s">
        <v>17</v>
      </c>
      <c r="E9" s="2">
        <v>7</v>
      </c>
      <c r="F9" s="2">
        <v>7</v>
      </c>
      <c r="G9" s="2">
        <v>0</v>
      </c>
      <c r="H9" s="2" t="s">
        <v>18</v>
      </c>
      <c r="I9" s="2">
        <v>0.80817039997782503</v>
      </c>
      <c r="J9" s="3" t="str">
        <f t="shared" si="0"/>
        <v>consistent</v>
      </c>
      <c r="L9" s="2" t="s">
        <v>75</v>
      </c>
      <c r="M9" s="4">
        <f>AVERAGE(I9:I104)</f>
        <v>0.65115951770409664</v>
      </c>
    </row>
    <row r="10" spans="1:13" x14ac:dyDescent="0.35">
      <c r="A10" t="s">
        <v>34</v>
      </c>
      <c r="B10" s="2" t="s">
        <v>15</v>
      </c>
      <c r="C10" s="2" t="s">
        <v>11</v>
      </c>
      <c r="D10" s="2" t="s">
        <v>12</v>
      </c>
      <c r="E10" s="2">
        <v>8</v>
      </c>
      <c r="F10" s="2">
        <v>8</v>
      </c>
      <c r="G10" s="2">
        <v>0</v>
      </c>
      <c r="H10" s="2" t="s">
        <v>13</v>
      </c>
      <c r="I10" s="2">
        <v>0.60988229996291898</v>
      </c>
      <c r="J10" s="3" t="str">
        <f t="shared" si="0"/>
        <v>consistent</v>
      </c>
    </row>
    <row r="11" spans="1:13" x14ac:dyDescent="0.35">
      <c r="A11" t="s">
        <v>43</v>
      </c>
      <c r="B11" s="2" t="s">
        <v>15</v>
      </c>
      <c r="C11" s="2" t="s">
        <v>44</v>
      </c>
      <c r="D11" s="2" t="s">
        <v>12</v>
      </c>
      <c r="E11" s="2">
        <v>9</v>
      </c>
      <c r="F11" s="2">
        <v>9</v>
      </c>
      <c r="G11" s="2">
        <v>0</v>
      </c>
      <c r="H11" s="2" t="s">
        <v>13</v>
      </c>
      <c r="I11" s="2">
        <v>0.45636750000994603</v>
      </c>
      <c r="J11" s="3" t="str">
        <f t="shared" si="0"/>
        <v>consistent</v>
      </c>
    </row>
    <row r="12" spans="1:13" x14ac:dyDescent="0.35">
      <c r="A12" t="s">
        <v>57</v>
      </c>
      <c r="B12" s="2" t="s">
        <v>22</v>
      </c>
      <c r="C12" s="2" t="s">
        <v>53</v>
      </c>
      <c r="D12" s="2" t="s">
        <v>17</v>
      </c>
      <c r="E12" s="2">
        <v>10</v>
      </c>
      <c r="F12" s="2">
        <v>10</v>
      </c>
      <c r="G12" s="2">
        <v>0</v>
      </c>
      <c r="H12" s="2" t="s">
        <v>18</v>
      </c>
      <c r="I12" s="2">
        <v>3.54709000093862E-2</v>
      </c>
      <c r="J12" s="3" t="str">
        <f t="shared" si="0"/>
        <v>consistent</v>
      </c>
      <c r="L12" s="2" t="s">
        <v>76</v>
      </c>
      <c r="M12" s="4">
        <f>AVERAGEIFS(I3:I104, J3:J104, "consistent", D3:D104, "male")</f>
        <v>0.56389631111394645</v>
      </c>
    </row>
    <row r="13" spans="1:13" x14ac:dyDescent="0.35">
      <c r="A13" t="s">
        <v>47</v>
      </c>
      <c r="B13" s="2" t="s">
        <v>22</v>
      </c>
      <c r="C13" s="2" t="s">
        <v>11</v>
      </c>
      <c r="D13" s="2" t="s">
        <v>12</v>
      </c>
      <c r="E13" s="2">
        <v>11</v>
      </c>
      <c r="F13" s="2">
        <v>11</v>
      </c>
      <c r="G13" s="2">
        <v>0</v>
      </c>
      <c r="H13" s="2" t="s">
        <v>13</v>
      </c>
      <c r="I13" s="2">
        <v>0.61049699998693496</v>
      </c>
      <c r="J13" s="3" t="str">
        <f t="shared" si="0"/>
        <v>inconsistent</v>
      </c>
      <c r="L13" s="2" t="s">
        <v>77</v>
      </c>
      <c r="M13" s="4">
        <f>AVERAGEIFS(I3:I104, J3:J104, "consistent", D3:D104, "female")</f>
        <v>0.6914902789346673</v>
      </c>
    </row>
    <row r="14" spans="1:13" hidden="1" x14ac:dyDescent="0.35">
      <c r="A14" t="s">
        <v>51</v>
      </c>
      <c r="B14" s="2" t="s">
        <v>10</v>
      </c>
      <c r="C14" s="2" t="s">
        <v>56</v>
      </c>
      <c r="D14" s="2" t="s">
        <v>17</v>
      </c>
      <c r="E14" s="2">
        <v>12</v>
      </c>
      <c r="F14" s="2">
        <v>12</v>
      </c>
      <c r="G14" s="2">
        <v>0</v>
      </c>
      <c r="H14" s="2" t="s">
        <v>18</v>
      </c>
      <c r="I14" s="2">
        <v>0.74455250002210904</v>
      </c>
      <c r="J14" s="3" t="str">
        <f t="shared" si="0"/>
        <v>neutral</v>
      </c>
      <c r="L14" s="9"/>
    </row>
    <row r="15" spans="1:13" x14ac:dyDescent="0.35">
      <c r="A15" t="s">
        <v>26</v>
      </c>
      <c r="B15" s="2" t="s">
        <v>22</v>
      </c>
      <c r="C15" s="2" t="s">
        <v>27</v>
      </c>
      <c r="D15" s="2" t="s">
        <v>17</v>
      </c>
      <c r="E15" s="2">
        <v>13</v>
      </c>
      <c r="F15" s="2">
        <v>13</v>
      </c>
      <c r="G15" s="2">
        <v>0</v>
      </c>
      <c r="H15" s="2" t="s">
        <v>18</v>
      </c>
      <c r="I15" s="2">
        <v>1.20628850004868</v>
      </c>
      <c r="J15" s="3" t="str">
        <f t="shared" si="0"/>
        <v>consistent</v>
      </c>
      <c r="L15" s="2" t="s">
        <v>78</v>
      </c>
      <c r="M15" s="4">
        <f>AVERAGEIFS(I3:I104, J3:J104, "inconsistent", D3:D104, "male")</f>
        <v>0.73436777221569172</v>
      </c>
    </row>
    <row r="16" spans="1:13" x14ac:dyDescent="0.35">
      <c r="A16" t="s">
        <v>48</v>
      </c>
      <c r="B16" s="2" t="s">
        <v>15</v>
      </c>
      <c r="C16" s="2" t="s">
        <v>49</v>
      </c>
      <c r="D16" s="2" t="s">
        <v>12</v>
      </c>
      <c r="E16" s="2">
        <v>14</v>
      </c>
      <c r="F16" s="2">
        <v>14</v>
      </c>
      <c r="G16" s="2">
        <v>0</v>
      </c>
      <c r="H16" s="2" t="s">
        <v>13</v>
      </c>
      <c r="I16" s="2">
        <v>0.46354379999684098</v>
      </c>
      <c r="J16" s="3" t="str">
        <f t="shared" si="0"/>
        <v>consistent</v>
      </c>
      <c r="L16" s="2" t="s">
        <v>79</v>
      </c>
      <c r="M16" s="4">
        <f>AVERAGEIFS(I3:I104, J3:J104, "inconsistent", D3:D104, "female")</f>
        <v>0.68452045881969981</v>
      </c>
    </row>
    <row r="17" spans="1:10" x14ac:dyDescent="0.35">
      <c r="A17" t="s">
        <v>32</v>
      </c>
      <c r="B17" s="2" t="s">
        <v>15</v>
      </c>
      <c r="C17" s="2" t="s">
        <v>33</v>
      </c>
      <c r="D17" s="2" t="s">
        <v>12</v>
      </c>
      <c r="E17" s="2">
        <v>15</v>
      </c>
      <c r="F17" s="2">
        <v>15</v>
      </c>
      <c r="G17" s="2">
        <v>0</v>
      </c>
      <c r="H17" s="2" t="s">
        <v>13</v>
      </c>
      <c r="I17" s="2">
        <v>0.770413499965798</v>
      </c>
      <c r="J17" s="3" t="str">
        <f t="shared" si="0"/>
        <v>consistent</v>
      </c>
    </row>
    <row r="18" spans="1:10" x14ac:dyDescent="0.35">
      <c r="A18" t="s">
        <v>62</v>
      </c>
      <c r="B18" s="2" t="s">
        <v>15</v>
      </c>
      <c r="C18" s="2" t="s">
        <v>36</v>
      </c>
      <c r="D18" s="2" t="s">
        <v>17</v>
      </c>
      <c r="E18" s="2">
        <v>16</v>
      </c>
      <c r="F18" s="2">
        <v>16</v>
      </c>
      <c r="G18" s="2">
        <v>0</v>
      </c>
      <c r="H18" s="2" t="s">
        <v>18</v>
      </c>
      <c r="I18" s="2">
        <v>0.39443939999909999</v>
      </c>
      <c r="J18" s="3" t="str">
        <f t="shared" si="0"/>
        <v>inconsistent</v>
      </c>
    </row>
    <row r="19" spans="1:10" x14ac:dyDescent="0.35">
      <c r="A19" t="s">
        <v>25</v>
      </c>
      <c r="B19" s="2" t="s">
        <v>22</v>
      </c>
      <c r="C19" s="2" t="s">
        <v>16</v>
      </c>
      <c r="D19" s="2" t="s">
        <v>17</v>
      </c>
      <c r="E19" s="2">
        <v>17</v>
      </c>
      <c r="F19" s="2">
        <v>17</v>
      </c>
      <c r="G19" s="2">
        <v>0</v>
      </c>
      <c r="H19" s="2" t="s">
        <v>18</v>
      </c>
      <c r="I19" s="2">
        <v>0.60784360003890403</v>
      </c>
      <c r="J19" s="3" t="str">
        <f t="shared" si="0"/>
        <v>consistent</v>
      </c>
    </row>
    <row r="20" spans="1:10" hidden="1" x14ac:dyDescent="0.35">
      <c r="A20" t="s">
        <v>58</v>
      </c>
      <c r="B20" s="2" t="s">
        <v>10</v>
      </c>
      <c r="C20" s="2" t="s">
        <v>42</v>
      </c>
      <c r="D20" s="2" t="s">
        <v>12</v>
      </c>
      <c r="E20" s="2">
        <v>18</v>
      </c>
      <c r="F20" s="2">
        <v>18</v>
      </c>
      <c r="G20" s="2">
        <v>0</v>
      </c>
      <c r="H20" s="2" t="s">
        <v>13</v>
      </c>
      <c r="I20" s="2">
        <v>0.54890870000235703</v>
      </c>
      <c r="J20" s="3" t="str">
        <f t="shared" si="0"/>
        <v>neutral</v>
      </c>
    </row>
    <row r="21" spans="1:10" hidden="1" x14ac:dyDescent="0.35">
      <c r="A21" t="s">
        <v>45</v>
      </c>
      <c r="B21" s="2" t="s">
        <v>10</v>
      </c>
      <c r="C21" s="2" t="s">
        <v>31</v>
      </c>
      <c r="D21" s="2" t="s">
        <v>17</v>
      </c>
      <c r="E21" s="2">
        <v>19</v>
      </c>
      <c r="F21" s="2">
        <v>19</v>
      </c>
      <c r="G21" s="2">
        <v>0</v>
      </c>
      <c r="H21" s="2" t="s">
        <v>18</v>
      </c>
      <c r="I21" s="2">
        <v>0.52867249998962496</v>
      </c>
      <c r="J21" s="3" t="str">
        <f t="shared" si="0"/>
        <v>neutral</v>
      </c>
    </row>
    <row r="22" spans="1:10" x14ac:dyDescent="0.35">
      <c r="A22" t="s">
        <v>52</v>
      </c>
      <c r="B22" s="2" t="s">
        <v>15</v>
      </c>
      <c r="C22" s="2" t="s">
        <v>53</v>
      </c>
      <c r="D22" s="2" t="s">
        <v>17</v>
      </c>
      <c r="E22" s="2">
        <v>20</v>
      </c>
      <c r="F22" s="2">
        <v>20</v>
      </c>
      <c r="G22" s="2">
        <v>0</v>
      </c>
      <c r="H22" s="2" t="s">
        <v>18</v>
      </c>
      <c r="I22" s="2">
        <v>0.68461400002706796</v>
      </c>
      <c r="J22" s="3" t="str">
        <f t="shared" si="0"/>
        <v>inconsistent</v>
      </c>
    </row>
    <row r="23" spans="1:10" x14ac:dyDescent="0.35">
      <c r="A23" t="s">
        <v>62</v>
      </c>
      <c r="B23" s="2" t="s">
        <v>15</v>
      </c>
      <c r="C23" s="2" t="s">
        <v>42</v>
      </c>
      <c r="D23" s="2" t="s">
        <v>12</v>
      </c>
      <c r="E23" s="2">
        <v>21</v>
      </c>
      <c r="F23" s="2">
        <v>21</v>
      </c>
      <c r="G23" s="2">
        <v>0</v>
      </c>
      <c r="H23" s="2" t="s">
        <v>13</v>
      </c>
      <c r="I23" s="2">
        <v>0.55925099999876604</v>
      </c>
      <c r="J23" s="3" t="str">
        <f t="shared" si="0"/>
        <v>consistent</v>
      </c>
    </row>
    <row r="24" spans="1:10" x14ac:dyDescent="0.35">
      <c r="A24" t="s">
        <v>28</v>
      </c>
      <c r="B24" s="2" t="s">
        <v>15</v>
      </c>
      <c r="C24" s="2" t="s">
        <v>29</v>
      </c>
      <c r="D24" s="2" t="s">
        <v>12</v>
      </c>
      <c r="E24" s="2">
        <v>23</v>
      </c>
      <c r="F24" s="2">
        <v>23</v>
      </c>
      <c r="G24" s="2">
        <v>0</v>
      </c>
      <c r="H24" s="2" t="s">
        <v>13</v>
      </c>
      <c r="I24" s="2">
        <v>0.96383170003537</v>
      </c>
      <c r="J24" s="3" t="str">
        <f t="shared" si="0"/>
        <v>consistent</v>
      </c>
    </row>
    <row r="25" spans="1:10" hidden="1" x14ac:dyDescent="0.35">
      <c r="A25" t="s">
        <v>19</v>
      </c>
      <c r="B25" s="2" t="s">
        <v>10</v>
      </c>
      <c r="C25" s="2" t="s">
        <v>20</v>
      </c>
      <c r="D25" s="2" t="s">
        <v>17</v>
      </c>
      <c r="E25" s="2">
        <v>24</v>
      </c>
      <c r="F25" s="2">
        <v>24</v>
      </c>
      <c r="G25" s="2">
        <v>0</v>
      </c>
      <c r="H25" s="2" t="s">
        <v>18</v>
      </c>
      <c r="I25" s="2">
        <v>0.529248300008475</v>
      </c>
      <c r="J25" s="3" t="str">
        <f t="shared" si="0"/>
        <v>neutral</v>
      </c>
    </row>
    <row r="26" spans="1:10" x14ac:dyDescent="0.35">
      <c r="A26" t="s">
        <v>46</v>
      </c>
      <c r="B26" s="2" t="s">
        <v>15</v>
      </c>
      <c r="C26" s="2" t="s">
        <v>41</v>
      </c>
      <c r="D26" s="2" t="s">
        <v>12</v>
      </c>
      <c r="E26" s="2">
        <v>25</v>
      </c>
      <c r="F26" s="2">
        <v>25</v>
      </c>
      <c r="G26" s="2">
        <v>0</v>
      </c>
      <c r="H26" s="2" t="s">
        <v>13</v>
      </c>
      <c r="I26" s="2">
        <v>0.51114579994464204</v>
      </c>
      <c r="J26" s="3" t="str">
        <f t="shared" si="0"/>
        <v>consistent</v>
      </c>
    </row>
    <row r="27" spans="1:10" x14ac:dyDescent="0.35">
      <c r="A27" t="s">
        <v>21</v>
      </c>
      <c r="B27" s="2" t="s">
        <v>22</v>
      </c>
      <c r="C27" s="2" t="s">
        <v>20</v>
      </c>
      <c r="D27" s="2" t="s">
        <v>17</v>
      </c>
      <c r="E27" s="2">
        <v>26</v>
      </c>
      <c r="F27" s="2">
        <v>26</v>
      </c>
      <c r="G27" s="2">
        <v>0</v>
      </c>
      <c r="H27" s="2" t="s">
        <v>18</v>
      </c>
      <c r="I27" s="2">
        <v>0.45919910003431103</v>
      </c>
      <c r="J27" s="3" t="str">
        <f t="shared" si="0"/>
        <v>consistent</v>
      </c>
    </row>
    <row r="28" spans="1:10" x14ac:dyDescent="0.35">
      <c r="A28" t="s">
        <v>25</v>
      </c>
      <c r="B28" s="2" t="s">
        <v>22</v>
      </c>
      <c r="C28" s="2" t="s">
        <v>24</v>
      </c>
      <c r="D28" s="2" t="s">
        <v>12</v>
      </c>
      <c r="E28" s="2">
        <v>27</v>
      </c>
      <c r="F28" s="2">
        <v>27</v>
      </c>
      <c r="G28" s="2">
        <v>0</v>
      </c>
      <c r="H28" s="2" t="s">
        <v>13</v>
      </c>
      <c r="I28" s="2">
        <v>0.82881989999441397</v>
      </c>
      <c r="J28" s="3" t="str">
        <f t="shared" si="0"/>
        <v>inconsistent</v>
      </c>
    </row>
    <row r="29" spans="1:10" hidden="1" x14ac:dyDescent="0.35">
      <c r="A29" t="s">
        <v>51</v>
      </c>
      <c r="B29" s="2" t="s">
        <v>10</v>
      </c>
      <c r="C29" s="2" t="s">
        <v>49</v>
      </c>
      <c r="D29" s="2" t="s">
        <v>12</v>
      </c>
      <c r="E29" s="2">
        <v>28</v>
      </c>
      <c r="F29" s="2">
        <v>28</v>
      </c>
      <c r="G29" s="2">
        <v>0</v>
      </c>
      <c r="H29" s="2" t="s">
        <v>13</v>
      </c>
      <c r="I29" s="2">
        <v>0.93367459997534696</v>
      </c>
      <c r="J29" s="3" t="str">
        <f t="shared" si="0"/>
        <v>neutral</v>
      </c>
    </row>
    <row r="30" spans="1:10" x14ac:dyDescent="0.35">
      <c r="A30" t="s">
        <v>61</v>
      </c>
      <c r="B30" s="2" t="s">
        <v>22</v>
      </c>
      <c r="C30" s="2" t="s">
        <v>60</v>
      </c>
      <c r="D30" s="2" t="s">
        <v>17</v>
      </c>
      <c r="E30" s="2">
        <v>29</v>
      </c>
      <c r="F30" s="2">
        <v>29</v>
      </c>
      <c r="G30" s="2">
        <v>0</v>
      </c>
      <c r="H30" s="2" t="s">
        <v>18</v>
      </c>
      <c r="I30" s="2">
        <v>0.36972189997322802</v>
      </c>
      <c r="J30" s="3" t="str">
        <f t="shared" si="0"/>
        <v>consistent</v>
      </c>
    </row>
    <row r="31" spans="1:10" x14ac:dyDescent="0.35">
      <c r="A31" t="s">
        <v>43</v>
      </c>
      <c r="B31" s="2" t="s">
        <v>15</v>
      </c>
      <c r="C31" s="2" t="s">
        <v>60</v>
      </c>
      <c r="D31" s="2" t="s">
        <v>17</v>
      </c>
      <c r="E31" s="2">
        <v>30</v>
      </c>
      <c r="F31" s="2">
        <v>30</v>
      </c>
      <c r="G31" s="2">
        <v>0</v>
      </c>
      <c r="H31" s="2" t="s">
        <v>18</v>
      </c>
      <c r="I31" s="2">
        <v>1.10495539999101</v>
      </c>
      <c r="J31" s="3" t="str">
        <f t="shared" si="0"/>
        <v>inconsistent</v>
      </c>
    </row>
    <row r="32" spans="1:10" x14ac:dyDescent="0.35">
      <c r="A32" t="s">
        <v>30</v>
      </c>
      <c r="B32" s="2" t="s">
        <v>22</v>
      </c>
      <c r="C32" s="2" t="s">
        <v>33</v>
      </c>
      <c r="D32" s="2" t="s">
        <v>12</v>
      </c>
      <c r="E32" s="2">
        <v>31</v>
      </c>
      <c r="F32" s="2">
        <v>31</v>
      </c>
      <c r="G32" s="2">
        <v>0</v>
      </c>
      <c r="H32" s="2" t="s">
        <v>13</v>
      </c>
      <c r="I32" s="2">
        <v>0.88913660001708195</v>
      </c>
      <c r="J32" s="3" t="str">
        <f t="shared" si="0"/>
        <v>inconsistent</v>
      </c>
    </row>
    <row r="33" spans="1:10" hidden="1" x14ac:dyDescent="0.35">
      <c r="A33" t="s">
        <v>38</v>
      </c>
      <c r="B33" s="2" t="s">
        <v>10</v>
      </c>
      <c r="C33" s="2" t="s">
        <v>41</v>
      </c>
      <c r="D33" s="2" t="s">
        <v>12</v>
      </c>
      <c r="E33" s="2">
        <v>32</v>
      </c>
      <c r="F33" s="2">
        <v>32</v>
      </c>
      <c r="G33" s="2">
        <v>0</v>
      </c>
      <c r="H33" s="2" t="s">
        <v>13</v>
      </c>
      <c r="I33" s="2">
        <v>0.56401129998266697</v>
      </c>
      <c r="J33" s="3" t="str">
        <f t="shared" si="0"/>
        <v>neutral</v>
      </c>
    </row>
    <row r="34" spans="1:10" hidden="1" x14ac:dyDescent="0.35">
      <c r="A34" t="s">
        <v>23</v>
      </c>
      <c r="B34" s="2" t="s">
        <v>10</v>
      </c>
      <c r="C34" s="2" t="s">
        <v>16</v>
      </c>
      <c r="D34" s="2" t="s">
        <v>17</v>
      </c>
      <c r="E34" s="2">
        <v>33</v>
      </c>
      <c r="F34" s="2">
        <v>33</v>
      </c>
      <c r="G34" s="2">
        <v>0</v>
      </c>
      <c r="H34" s="2" t="s">
        <v>18</v>
      </c>
      <c r="I34" s="2">
        <v>0.58680440002353795</v>
      </c>
      <c r="J34" s="3" t="str">
        <f t="shared" si="0"/>
        <v>neutral</v>
      </c>
    </row>
    <row r="35" spans="1:10" x14ac:dyDescent="0.35">
      <c r="A35" t="s">
        <v>46</v>
      </c>
      <c r="B35" s="2" t="s">
        <v>15</v>
      </c>
      <c r="C35" s="2" t="s">
        <v>39</v>
      </c>
      <c r="D35" s="2" t="s">
        <v>17</v>
      </c>
      <c r="E35" s="2">
        <v>34</v>
      </c>
      <c r="F35" s="2">
        <v>34</v>
      </c>
      <c r="G35" s="2">
        <v>0</v>
      </c>
      <c r="H35" s="2" t="s">
        <v>18</v>
      </c>
      <c r="I35" s="2">
        <v>0.64581469999393404</v>
      </c>
      <c r="J35" s="3" t="str">
        <f t="shared" si="0"/>
        <v>inconsistent</v>
      </c>
    </row>
    <row r="36" spans="1:10" hidden="1" x14ac:dyDescent="0.35">
      <c r="A36" t="s">
        <v>45</v>
      </c>
      <c r="B36" s="2" t="s">
        <v>10</v>
      </c>
      <c r="C36" s="2" t="s">
        <v>33</v>
      </c>
      <c r="D36" s="2" t="s">
        <v>12</v>
      </c>
      <c r="E36" s="2">
        <v>35</v>
      </c>
      <c r="F36" s="2">
        <v>35</v>
      </c>
      <c r="G36" s="2">
        <v>0</v>
      </c>
      <c r="H36" s="2" t="s">
        <v>13</v>
      </c>
      <c r="I36" s="2">
        <v>0.63641639996785604</v>
      </c>
      <c r="J36" s="3" t="str">
        <f t="shared" si="0"/>
        <v>neutral</v>
      </c>
    </row>
    <row r="37" spans="1:10" x14ac:dyDescent="0.35">
      <c r="A37" t="s">
        <v>34</v>
      </c>
      <c r="B37" s="2" t="s">
        <v>15</v>
      </c>
      <c r="C37" s="2" t="s">
        <v>37</v>
      </c>
      <c r="D37" s="2" t="s">
        <v>17</v>
      </c>
      <c r="E37" s="2">
        <v>36</v>
      </c>
      <c r="F37" s="2">
        <v>36</v>
      </c>
      <c r="G37" s="2">
        <v>0</v>
      </c>
      <c r="H37" s="2" t="s">
        <v>18</v>
      </c>
      <c r="I37" s="2">
        <v>0.44133760000113398</v>
      </c>
      <c r="J37" s="3" t="str">
        <f t="shared" si="0"/>
        <v>inconsistent</v>
      </c>
    </row>
    <row r="38" spans="1:10" x14ac:dyDescent="0.35">
      <c r="A38" t="s">
        <v>28</v>
      </c>
      <c r="B38" s="2" t="s">
        <v>15</v>
      </c>
      <c r="C38" s="2" t="s">
        <v>27</v>
      </c>
      <c r="D38" s="2" t="s">
        <v>17</v>
      </c>
      <c r="E38" s="2">
        <v>37</v>
      </c>
      <c r="F38" s="2">
        <v>37</v>
      </c>
      <c r="G38" s="2">
        <v>0</v>
      </c>
      <c r="H38" s="2" t="s">
        <v>18</v>
      </c>
      <c r="I38" s="2">
        <v>0.53480820002732798</v>
      </c>
      <c r="J38" s="3" t="str">
        <f t="shared" si="0"/>
        <v>inconsistent</v>
      </c>
    </row>
    <row r="39" spans="1:10" x14ac:dyDescent="0.35">
      <c r="A39" t="s">
        <v>30</v>
      </c>
      <c r="B39" s="2" t="s">
        <v>22</v>
      </c>
      <c r="C39" s="2" t="s">
        <v>31</v>
      </c>
      <c r="D39" s="2" t="s">
        <v>17</v>
      </c>
      <c r="E39" s="2">
        <v>38</v>
      </c>
      <c r="F39" s="2">
        <v>38</v>
      </c>
      <c r="G39" s="2">
        <v>0</v>
      </c>
      <c r="H39" s="2" t="s">
        <v>18</v>
      </c>
      <c r="I39" s="2">
        <v>0.51810960000147999</v>
      </c>
      <c r="J39" s="3" t="str">
        <f t="shared" si="0"/>
        <v>consistent</v>
      </c>
    </row>
    <row r="40" spans="1:10" x14ac:dyDescent="0.35">
      <c r="A40" t="s">
        <v>47</v>
      </c>
      <c r="B40" s="2" t="s">
        <v>22</v>
      </c>
      <c r="C40" s="2" t="s">
        <v>37</v>
      </c>
      <c r="D40" s="2" t="s">
        <v>17</v>
      </c>
      <c r="E40" s="2">
        <v>39</v>
      </c>
      <c r="F40" s="2">
        <v>39</v>
      </c>
      <c r="G40" s="2">
        <v>0</v>
      </c>
      <c r="H40" s="2" t="s">
        <v>18</v>
      </c>
      <c r="I40" s="2">
        <v>0.405700799950864</v>
      </c>
      <c r="J40" s="3" t="str">
        <f t="shared" si="0"/>
        <v>consistent</v>
      </c>
    </row>
    <row r="41" spans="1:10" hidden="1" x14ac:dyDescent="0.35">
      <c r="A41" t="s">
        <v>9</v>
      </c>
      <c r="B41" s="2" t="s">
        <v>10</v>
      </c>
      <c r="C41" s="2" t="s">
        <v>11</v>
      </c>
      <c r="D41" s="2" t="s">
        <v>12</v>
      </c>
      <c r="E41" s="2">
        <v>40</v>
      </c>
      <c r="F41" s="2">
        <v>40</v>
      </c>
      <c r="G41" s="2">
        <v>0</v>
      </c>
      <c r="H41" s="2" t="s">
        <v>13</v>
      </c>
      <c r="I41" s="2">
        <v>0.84418379998533</v>
      </c>
      <c r="J41" s="3" t="str">
        <f t="shared" si="0"/>
        <v>neutral</v>
      </c>
    </row>
    <row r="42" spans="1:10" x14ac:dyDescent="0.35">
      <c r="A42" t="s">
        <v>61</v>
      </c>
      <c r="B42" s="2" t="s">
        <v>22</v>
      </c>
      <c r="C42" s="2" t="s">
        <v>44</v>
      </c>
      <c r="D42" s="2" t="s">
        <v>12</v>
      </c>
      <c r="E42" s="2">
        <v>41</v>
      </c>
      <c r="F42" s="2">
        <v>41</v>
      </c>
      <c r="G42" s="2">
        <v>0</v>
      </c>
      <c r="H42" s="2" t="s">
        <v>13</v>
      </c>
      <c r="I42" s="2">
        <v>0.80334270000457697</v>
      </c>
      <c r="J42" s="3" t="str">
        <f t="shared" si="0"/>
        <v>inconsistent</v>
      </c>
    </row>
    <row r="43" spans="1:10" hidden="1" x14ac:dyDescent="0.35">
      <c r="A43" t="s">
        <v>23</v>
      </c>
      <c r="B43" s="2" t="s">
        <v>10</v>
      </c>
      <c r="C43" s="2" t="s">
        <v>24</v>
      </c>
      <c r="D43" s="2" t="s">
        <v>12</v>
      </c>
      <c r="E43" s="2">
        <v>42</v>
      </c>
      <c r="F43" s="2">
        <v>42</v>
      </c>
      <c r="G43" s="2">
        <v>0</v>
      </c>
      <c r="H43" s="2" t="s">
        <v>13</v>
      </c>
      <c r="I43" s="2">
        <v>0.53782610001508102</v>
      </c>
      <c r="J43" s="3" t="str">
        <f t="shared" si="0"/>
        <v>neutral</v>
      </c>
    </row>
    <row r="44" spans="1:10" hidden="1" x14ac:dyDescent="0.35">
      <c r="A44" t="s">
        <v>54</v>
      </c>
      <c r="B44" s="2" t="s">
        <v>10</v>
      </c>
      <c r="C44" s="2" t="s">
        <v>44</v>
      </c>
      <c r="D44" s="2" t="s">
        <v>12</v>
      </c>
      <c r="E44" s="2">
        <v>43</v>
      </c>
      <c r="F44" s="2">
        <v>43</v>
      </c>
      <c r="G44" s="2">
        <v>0</v>
      </c>
      <c r="H44" s="2" t="s">
        <v>13</v>
      </c>
      <c r="I44" s="2">
        <v>0.350387100013904</v>
      </c>
      <c r="J44" s="3" t="str">
        <f t="shared" si="0"/>
        <v>neutral</v>
      </c>
    </row>
    <row r="45" spans="1:10" x14ac:dyDescent="0.35">
      <c r="A45" t="s">
        <v>50</v>
      </c>
      <c r="B45" s="2" t="s">
        <v>15</v>
      </c>
      <c r="C45" s="2" t="s">
        <v>59</v>
      </c>
      <c r="D45" s="2" t="s">
        <v>12</v>
      </c>
      <c r="E45" s="2">
        <v>44</v>
      </c>
      <c r="F45" s="2">
        <v>44</v>
      </c>
      <c r="G45" s="2">
        <v>0</v>
      </c>
      <c r="H45" s="2" t="s">
        <v>13</v>
      </c>
      <c r="I45" s="2">
        <v>0.61825179995503199</v>
      </c>
      <c r="J45" s="3" t="str">
        <f t="shared" si="0"/>
        <v>consistent</v>
      </c>
    </row>
    <row r="46" spans="1:10" hidden="1" x14ac:dyDescent="0.35">
      <c r="A46" t="s">
        <v>19</v>
      </c>
      <c r="B46" s="2" t="s">
        <v>10</v>
      </c>
      <c r="C46" s="2" t="s">
        <v>59</v>
      </c>
      <c r="D46" s="2" t="s">
        <v>12</v>
      </c>
      <c r="E46" s="2">
        <v>46</v>
      </c>
      <c r="F46" s="2">
        <v>46</v>
      </c>
      <c r="G46" s="2">
        <v>0</v>
      </c>
      <c r="H46" s="2" t="s">
        <v>13</v>
      </c>
      <c r="I46" s="2">
        <v>0.70658409997122296</v>
      </c>
      <c r="J46" s="3" t="str">
        <f t="shared" si="0"/>
        <v>neutral</v>
      </c>
    </row>
    <row r="47" spans="1:10" x14ac:dyDescent="0.35">
      <c r="A47" t="s">
        <v>14</v>
      </c>
      <c r="B47" s="2" t="s">
        <v>15</v>
      </c>
      <c r="C47" s="2" t="s">
        <v>16</v>
      </c>
      <c r="D47" s="2" t="s">
        <v>17</v>
      </c>
      <c r="E47" s="2">
        <v>47</v>
      </c>
      <c r="F47" s="2">
        <v>47</v>
      </c>
      <c r="G47" s="2">
        <v>0</v>
      </c>
      <c r="H47" s="2" t="s">
        <v>18</v>
      </c>
      <c r="I47" s="2">
        <v>1.51663289999123</v>
      </c>
      <c r="J47" s="3" t="str">
        <f t="shared" si="0"/>
        <v>inconsistent</v>
      </c>
    </row>
    <row r="48" spans="1:10" x14ac:dyDescent="0.35">
      <c r="A48" t="s">
        <v>40</v>
      </c>
      <c r="B48" s="2" t="s">
        <v>22</v>
      </c>
      <c r="C48" s="2" t="s">
        <v>39</v>
      </c>
      <c r="D48" s="2" t="s">
        <v>17</v>
      </c>
      <c r="E48" s="2">
        <v>48</v>
      </c>
      <c r="F48" s="2">
        <v>48</v>
      </c>
      <c r="G48" s="2">
        <v>0</v>
      </c>
      <c r="H48" s="2" t="s">
        <v>18</v>
      </c>
      <c r="I48" s="2">
        <v>1.1750373999821</v>
      </c>
      <c r="J48" s="3" t="str">
        <f t="shared" si="0"/>
        <v>consistent</v>
      </c>
    </row>
    <row r="49" spans="1:10" hidden="1" x14ac:dyDescent="0.35">
      <c r="A49" t="s">
        <v>58</v>
      </c>
      <c r="B49" s="2" t="s">
        <v>10</v>
      </c>
      <c r="C49" s="2" t="s">
        <v>36</v>
      </c>
      <c r="D49" s="2" t="s">
        <v>17</v>
      </c>
      <c r="E49" s="2">
        <v>49</v>
      </c>
      <c r="F49" s="2">
        <v>49</v>
      </c>
      <c r="G49" s="2">
        <v>0</v>
      </c>
      <c r="H49" s="2" t="s">
        <v>18</v>
      </c>
      <c r="I49" s="2">
        <v>0.519700100005138</v>
      </c>
      <c r="J49" s="3" t="str">
        <f t="shared" si="0"/>
        <v>neutral</v>
      </c>
    </row>
    <row r="50" spans="1:10" x14ac:dyDescent="0.35">
      <c r="A50" t="s">
        <v>14</v>
      </c>
      <c r="B50" s="2" t="s">
        <v>15</v>
      </c>
      <c r="C50" s="2" t="s">
        <v>24</v>
      </c>
      <c r="D50" s="2" t="s">
        <v>12</v>
      </c>
      <c r="E50" s="2">
        <v>50</v>
      </c>
      <c r="F50" s="2">
        <v>50</v>
      </c>
      <c r="G50" s="2">
        <v>0</v>
      </c>
      <c r="H50" s="2" t="s">
        <v>13</v>
      </c>
      <c r="I50" s="2">
        <v>0.58640219998778698</v>
      </c>
      <c r="J50" s="3" t="str">
        <f t="shared" si="0"/>
        <v>consistent</v>
      </c>
    </row>
    <row r="51" spans="1:10" hidden="1" x14ac:dyDescent="0.35">
      <c r="A51" t="s">
        <v>38</v>
      </c>
      <c r="B51" s="2" t="s">
        <v>10</v>
      </c>
      <c r="C51" s="2" t="s">
        <v>39</v>
      </c>
      <c r="D51" s="2" t="s">
        <v>17</v>
      </c>
      <c r="E51" s="2">
        <v>51</v>
      </c>
      <c r="F51" s="2">
        <v>51</v>
      </c>
      <c r="G51" s="2">
        <v>0</v>
      </c>
      <c r="H51" s="2" t="s">
        <v>18</v>
      </c>
      <c r="I51" s="2">
        <v>0.75627349998103399</v>
      </c>
      <c r="J51" s="3" t="str">
        <f t="shared" si="0"/>
        <v>neutral</v>
      </c>
    </row>
    <row r="52" spans="1:10" x14ac:dyDescent="0.35">
      <c r="A52" t="s">
        <v>21</v>
      </c>
      <c r="B52" s="2" t="s">
        <v>22</v>
      </c>
      <c r="C52" s="2" t="s">
        <v>59</v>
      </c>
      <c r="D52" s="2" t="s">
        <v>12</v>
      </c>
      <c r="E52" s="2">
        <v>52</v>
      </c>
      <c r="F52" s="2">
        <v>52</v>
      </c>
      <c r="G52" s="2">
        <v>0</v>
      </c>
      <c r="H52" s="2" t="s">
        <v>13</v>
      </c>
      <c r="I52" s="2">
        <v>0.88882100000046105</v>
      </c>
      <c r="J52" s="3" t="str">
        <f t="shared" si="0"/>
        <v>inconsistent</v>
      </c>
    </row>
    <row r="53" spans="1:10" hidden="1" x14ac:dyDescent="0.35">
      <c r="A53" t="s">
        <v>9</v>
      </c>
      <c r="B53" s="2" t="s">
        <v>10</v>
      </c>
      <c r="C53" s="2" t="s">
        <v>37</v>
      </c>
      <c r="D53" s="2" t="s">
        <v>17</v>
      </c>
      <c r="E53" s="2">
        <v>53</v>
      </c>
      <c r="F53" s="2">
        <v>53</v>
      </c>
      <c r="G53" s="2">
        <v>0</v>
      </c>
      <c r="H53" s="2" t="s">
        <v>18</v>
      </c>
      <c r="I53" s="2">
        <v>0.60246570000890598</v>
      </c>
      <c r="J53" s="3" t="str">
        <f t="shared" si="0"/>
        <v>neutral</v>
      </c>
    </row>
    <row r="54" spans="1:10" hidden="1" x14ac:dyDescent="0.35">
      <c r="A54" t="s">
        <v>23</v>
      </c>
      <c r="B54" s="2" t="s">
        <v>10</v>
      </c>
      <c r="C54" s="2" t="s">
        <v>24</v>
      </c>
      <c r="D54" s="2" t="s">
        <v>12</v>
      </c>
      <c r="E54" s="2">
        <v>54</v>
      </c>
      <c r="F54" s="2">
        <v>0</v>
      </c>
      <c r="G54" s="2">
        <v>1</v>
      </c>
      <c r="H54" s="2" t="s">
        <v>13</v>
      </c>
      <c r="I54" s="2">
        <v>0.95112779998453301</v>
      </c>
      <c r="J54" s="3" t="str">
        <f t="shared" si="0"/>
        <v>neutral</v>
      </c>
    </row>
    <row r="55" spans="1:10" x14ac:dyDescent="0.35">
      <c r="A55" t="s">
        <v>34</v>
      </c>
      <c r="B55" s="2" t="s">
        <v>15</v>
      </c>
      <c r="C55" s="2" t="s">
        <v>37</v>
      </c>
      <c r="D55" s="2" t="s">
        <v>17</v>
      </c>
      <c r="E55" s="2">
        <v>55</v>
      </c>
      <c r="F55" s="2">
        <v>1</v>
      </c>
      <c r="G55" s="2">
        <v>1</v>
      </c>
      <c r="H55" s="2" t="s">
        <v>18</v>
      </c>
      <c r="I55" s="2">
        <v>0.40561279997928001</v>
      </c>
      <c r="J55" s="3" t="str">
        <f t="shared" si="0"/>
        <v>inconsistent</v>
      </c>
    </row>
    <row r="56" spans="1:10" x14ac:dyDescent="0.35">
      <c r="A56" t="s">
        <v>26</v>
      </c>
      <c r="B56" s="2" t="s">
        <v>22</v>
      </c>
      <c r="C56" s="2" t="s">
        <v>29</v>
      </c>
      <c r="D56" s="2" t="s">
        <v>12</v>
      </c>
      <c r="E56" s="2">
        <v>56</v>
      </c>
      <c r="F56" s="2">
        <v>2</v>
      </c>
      <c r="G56" s="2">
        <v>1</v>
      </c>
      <c r="H56" s="2" t="s">
        <v>13</v>
      </c>
      <c r="I56" s="2">
        <v>0.43593619996681798</v>
      </c>
      <c r="J56" s="3" t="str">
        <f t="shared" si="0"/>
        <v>inconsistent</v>
      </c>
    </row>
    <row r="57" spans="1:10" x14ac:dyDescent="0.35">
      <c r="A57" t="s">
        <v>25</v>
      </c>
      <c r="B57" s="2" t="s">
        <v>22</v>
      </c>
      <c r="C57" s="2" t="s">
        <v>16</v>
      </c>
      <c r="D57" s="2" t="s">
        <v>17</v>
      </c>
      <c r="E57" s="2">
        <v>57</v>
      </c>
      <c r="F57" s="2">
        <v>3</v>
      </c>
      <c r="G57" s="2">
        <v>1</v>
      </c>
      <c r="H57" s="2" t="s">
        <v>18</v>
      </c>
      <c r="I57" s="2">
        <v>0.452676600019913</v>
      </c>
      <c r="J57" s="3" t="str">
        <f t="shared" si="0"/>
        <v>consistent</v>
      </c>
    </row>
    <row r="58" spans="1:10" hidden="1" x14ac:dyDescent="0.35">
      <c r="A58" t="s">
        <v>45</v>
      </c>
      <c r="B58" s="2" t="s">
        <v>10</v>
      </c>
      <c r="C58" s="2" t="s">
        <v>31</v>
      </c>
      <c r="D58" s="2" t="s">
        <v>17</v>
      </c>
      <c r="E58" s="2">
        <v>58</v>
      </c>
      <c r="F58" s="2">
        <v>4</v>
      </c>
      <c r="G58" s="2">
        <v>1</v>
      </c>
      <c r="H58" s="2" t="s">
        <v>18</v>
      </c>
      <c r="I58" s="2">
        <v>0.52834769996115905</v>
      </c>
      <c r="J58" s="3" t="str">
        <f t="shared" si="0"/>
        <v>neutral</v>
      </c>
    </row>
    <row r="59" spans="1:10" x14ac:dyDescent="0.35">
      <c r="A59" t="s">
        <v>40</v>
      </c>
      <c r="B59" s="2" t="s">
        <v>22</v>
      </c>
      <c r="C59" s="2" t="s">
        <v>39</v>
      </c>
      <c r="D59" s="2" t="s">
        <v>17</v>
      </c>
      <c r="E59" s="2">
        <v>59</v>
      </c>
      <c r="F59" s="2">
        <v>5</v>
      </c>
      <c r="G59" s="2">
        <v>1</v>
      </c>
      <c r="H59" s="2" t="s">
        <v>18</v>
      </c>
      <c r="I59" s="2">
        <v>0.51227150001795896</v>
      </c>
      <c r="J59" s="3" t="str">
        <f t="shared" si="0"/>
        <v>consistent</v>
      </c>
    </row>
    <row r="60" spans="1:10" x14ac:dyDescent="0.35">
      <c r="A60" t="s">
        <v>52</v>
      </c>
      <c r="B60" s="2" t="s">
        <v>15</v>
      </c>
      <c r="C60" s="2" t="s">
        <v>53</v>
      </c>
      <c r="D60" s="2" t="s">
        <v>17</v>
      </c>
      <c r="E60" s="2">
        <v>60</v>
      </c>
      <c r="F60" s="2">
        <v>6</v>
      </c>
      <c r="G60" s="2">
        <v>1</v>
      </c>
      <c r="H60" s="2" t="s">
        <v>18</v>
      </c>
      <c r="I60" s="2">
        <v>0.75874839996686205</v>
      </c>
      <c r="J60" s="3" t="str">
        <f t="shared" si="0"/>
        <v>inconsistent</v>
      </c>
    </row>
    <row r="61" spans="1:10" hidden="1" x14ac:dyDescent="0.35">
      <c r="A61" t="s">
        <v>9</v>
      </c>
      <c r="B61" s="2" t="s">
        <v>10</v>
      </c>
      <c r="C61" s="2" t="s">
        <v>37</v>
      </c>
      <c r="D61" s="2" t="s">
        <v>17</v>
      </c>
      <c r="E61" s="2">
        <v>61</v>
      </c>
      <c r="F61" s="2">
        <v>7</v>
      </c>
      <c r="G61" s="2">
        <v>1</v>
      </c>
      <c r="H61" s="2" t="s">
        <v>18</v>
      </c>
      <c r="I61" s="2">
        <v>0.44232070003636098</v>
      </c>
      <c r="J61" s="3" t="str">
        <f t="shared" si="0"/>
        <v>neutral</v>
      </c>
    </row>
    <row r="62" spans="1:10" x14ac:dyDescent="0.35">
      <c r="A62" t="s">
        <v>57</v>
      </c>
      <c r="B62" s="2" t="s">
        <v>22</v>
      </c>
      <c r="C62" s="2" t="s">
        <v>55</v>
      </c>
      <c r="D62" s="2" t="s">
        <v>12</v>
      </c>
      <c r="E62" s="2">
        <v>62</v>
      </c>
      <c r="F62" s="2">
        <v>8</v>
      </c>
      <c r="G62" s="2">
        <v>1</v>
      </c>
      <c r="H62" s="2" t="s">
        <v>13</v>
      </c>
      <c r="I62" s="2">
        <v>0.459350499964784</v>
      </c>
      <c r="J62" s="3" t="str">
        <f t="shared" si="0"/>
        <v>inconsistent</v>
      </c>
    </row>
    <row r="63" spans="1:10" x14ac:dyDescent="0.35">
      <c r="A63" t="s">
        <v>30</v>
      </c>
      <c r="B63" s="2" t="s">
        <v>22</v>
      </c>
      <c r="C63" s="2" t="s">
        <v>31</v>
      </c>
      <c r="D63" s="2" t="s">
        <v>17</v>
      </c>
      <c r="E63" s="2">
        <v>63</v>
      </c>
      <c r="F63" s="2">
        <v>9</v>
      </c>
      <c r="G63" s="2">
        <v>1</v>
      </c>
      <c r="H63" s="2" t="s">
        <v>18</v>
      </c>
      <c r="I63" s="2">
        <v>0.58644479996291898</v>
      </c>
      <c r="J63" s="3" t="str">
        <f t="shared" si="0"/>
        <v>consistent</v>
      </c>
    </row>
    <row r="64" spans="1:10" x14ac:dyDescent="0.35">
      <c r="A64" t="s">
        <v>34</v>
      </c>
      <c r="B64" s="2" t="s">
        <v>15</v>
      </c>
      <c r="C64" s="2" t="s">
        <v>11</v>
      </c>
      <c r="D64" s="2" t="s">
        <v>12</v>
      </c>
      <c r="E64" s="2">
        <v>65</v>
      </c>
      <c r="F64" s="2">
        <v>11</v>
      </c>
      <c r="G64" s="2">
        <v>1</v>
      </c>
      <c r="H64" s="2" t="s">
        <v>13</v>
      </c>
      <c r="I64" s="2">
        <v>1.46083949995227</v>
      </c>
      <c r="J64" s="3" t="str">
        <f t="shared" si="0"/>
        <v>consistent</v>
      </c>
    </row>
    <row r="65" spans="1:10" hidden="1" x14ac:dyDescent="0.35">
      <c r="A65" t="s">
        <v>45</v>
      </c>
      <c r="B65" s="2" t="s">
        <v>10</v>
      </c>
      <c r="C65" s="2" t="s">
        <v>33</v>
      </c>
      <c r="D65" s="2" t="s">
        <v>12</v>
      </c>
      <c r="E65" s="2">
        <v>66</v>
      </c>
      <c r="F65" s="2">
        <v>12</v>
      </c>
      <c r="G65" s="2">
        <v>1</v>
      </c>
      <c r="H65" s="2" t="s">
        <v>13</v>
      </c>
      <c r="I65" s="2">
        <v>0.71563380002044097</v>
      </c>
      <c r="J65" s="3" t="str">
        <f t="shared" si="0"/>
        <v>neutral</v>
      </c>
    </row>
    <row r="66" spans="1:10" x14ac:dyDescent="0.35">
      <c r="A66" t="s">
        <v>28</v>
      </c>
      <c r="B66" s="2" t="s">
        <v>15</v>
      </c>
      <c r="C66" s="2" t="s">
        <v>27</v>
      </c>
      <c r="D66" s="2" t="s">
        <v>17</v>
      </c>
      <c r="E66" s="2">
        <v>67</v>
      </c>
      <c r="F66" s="2">
        <v>13</v>
      </c>
      <c r="G66" s="2">
        <v>1</v>
      </c>
      <c r="H66" s="2" t="s">
        <v>18</v>
      </c>
      <c r="I66" s="2">
        <v>0.60179699998116098</v>
      </c>
      <c r="J66" s="3" t="str">
        <f t="shared" si="0"/>
        <v>inconsistent</v>
      </c>
    </row>
    <row r="67" spans="1:10" hidden="1" x14ac:dyDescent="0.35">
      <c r="A67" t="s">
        <v>19</v>
      </c>
      <c r="B67" s="2" t="s">
        <v>10</v>
      </c>
      <c r="C67" s="2" t="s">
        <v>20</v>
      </c>
      <c r="D67" s="2" t="s">
        <v>17</v>
      </c>
      <c r="E67" s="2">
        <v>68</v>
      </c>
      <c r="F67" s="2">
        <v>14</v>
      </c>
      <c r="G67" s="2">
        <v>1</v>
      </c>
      <c r="H67" s="2" t="s">
        <v>18</v>
      </c>
      <c r="I67" s="2">
        <v>0.58591849997173995</v>
      </c>
      <c r="J67" s="3" t="str">
        <f t="shared" si="0"/>
        <v>neutral</v>
      </c>
    </row>
    <row r="68" spans="1:10" x14ac:dyDescent="0.35">
      <c r="A68" t="s">
        <v>48</v>
      </c>
      <c r="B68" s="2" t="s">
        <v>15</v>
      </c>
      <c r="C68" s="2" t="s">
        <v>56</v>
      </c>
      <c r="D68" s="2" t="s">
        <v>17</v>
      </c>
      <c r="E68" s="2">
        <v>69</v>
      </c>
      <c r="F68" s="2">
        <v>15</v>
      </c>
      <c r="G68" s="2">
        <v>1</v>
      </c>
      <c r="H68" s="2" t="s">
        <v>18</v>
      </c>
      <c r="I68" s="2">
        <v>0.74645099998451703</v>
      </c>
      <c r="J68" s="3" t="str">
        <f t="shared" ref="J68:J104" si="1">IF(OR(AND(B68="masculine",D68="male"), AND(B68="feminine",D68="female")), "consistent",
IF(OR(AND(B68="masculine",D68="female"), AND(B68="feminine",D68="male")), "inconsistent","neutral"))</f>
        <v>inconsistent</v>
      </c>
    </row>
    <row r="69" spans="1:10" x14ac:dyDescent="0.35">
      <c r="A69" t="s">
        <v>43</v>
      </c>
      <c r="B69" s="2" t="s">
        <v>15</v>
      </c>
      <c r="C69" s="2" t="s">
        <v>44</v>
      </c>
      <c r="D69" s="2" t="s">
        <v>12</v>
      </c>
      <c r="E69" s="2">
        <v>70</v>
      </c>
      <c r="F69" s="2">
        <v>16</v>
      </c>
      <c r="G69" s="2">
        <v>1</v>
      </c>
      <c r="H69" s="2" t="s">
        <v>13</v>
      </c>
      <c r="I69" s="2">
        <v>0.63996549998410002</v>
      </c>
      <c r="J69" s="3" t="str">
        <f t="shared" si="1"/>
        <v>consistent</v>
      </c>
    </row>
    <row r="70" spans="1:10" x14ac:dyDescent="0.35">
      <c r="A70" t="s">
        <v>40</v>
      </c>
      <c r="B70" s="2" t="s">
        <v>22</v>
      </c>
      <c r="C70" s="2" t="s">
        <v>41</v>
      </c>
      <c r="D70" s="2" t="s">
        <v>12</v>
      </c>
      <c r="E70" s="2">
        <v>71</v>
      </c>
      <c r="F70" s="2">
        <v>17</v>
      </c>
      <c r="G70" s="2">
        <v>1</v>
      </c>
      <c r="H70" s="2" t="s">
        <v>13</v>
      </c>
      <c r="I70" s="2">
        <v>0.88885330001357898</v>
      </c>
      <c r="J70" s="3" t="str">
        <f t="shared" si="1"/>
        <v>inconsistent</v>
      </c>
    </row>
    <row r="71" spans="1:10" x14ac:dyDescent="0.35">
      <c r="A71" t="s">
        <v>28</v>
      </c>
      <c r="B71" s="2" t="s">
        <v>15</v>
      </c>
      <c r="C71" s="2" t="s">
        <v>29</v>
      </c>
      <c r="D71" s="2" t="s">
        <v>12</v>
      </c>
      <c r="E71" s="2">
        <v>72</v>
      </c>
      <c r="F71" s="2">
        <v>18</v>
      </c>
      <c r="G71" s="2">
        <v>1</v>
      </c>
      <c r="H71" s="2" t="s">
        <v>13</v>
      </c>
      <c r="I71" s="2">
        <v>0.48449960001744302</v>
      </c>
      <c r="J71" s="3" t="str">
        <f t="shared" si="1"/>
        <v>consistent</v>
      </c>
    </row>
    <row r="72" spans="1:10" x14ac:dyDescent="0.35">
      <c r="A72" t="s">
        <v>14</v>
      </c>
      <c r="B72" s="2" t="s">
        <v>15</v>
      </c>
      <c r="C72" s="2" t="s">
        <v>24</v>
      </c>
      <c r="D72" s="2" t="s">
        <v>12</v>
      </c>
      <c r="E72" s="2">
        <v>73</v>
      </c>
      <c r="F72" s="2">
        <v>19</v>
      </c>
      <c r="G72" s="2">
        <v>1</v>
      </c>
      <c r="H72" s="2" t="s">
        <v>13</v>
      </c>
      <c r="I72" s="2">
        <v>0.57348439999623202</v>
      </c>
      <c r="J72" s="3" t="str">
        <f t="shared" si="1"/>
        <v>consistent</v>
      </c>
    </row>
    <row r="73" spans="1:10" hidden="1" x14ac:dyDescent="0.35">
      <c r="A73" t="s">
        <v>54</v>
      </c>
      <c r="B73" s="2" t="s">
        <v>10</v>
      </c>
      <c r="C73" s="2" t="s">
        <v>60</v>
      </c>
      <c r="D73" s="2" t="s">
        <v>17</v>
      </c>
      <c r="E73" s="2">
        <v>74</v>
      </c>
      <c r="F73" s="2">
        <v>20</v>
      </c>
      <c r="G73" s="2">
        <v>1</v>
      </c>
      <c r="H73" s="2" t="s">
        <v>18</v>
      </c>
      <c r="I73" s="2">
        <v>0.40677390003111202</v>
      </c>
      <c r="J73" s="3" t="str">
        <f t="shared" si="1"/>
        <v>neutral</v>
      </c>
    </row>
    <row r="74" spans="1:10" x14ac:dyDescent="0.35">
      <c r="A74" t="s">
        <v>50</v>
      </c>
      <c r="B74" s="2" t="s">
        <v>15</v>
      </c>
      <c r="C74" s="2" t="s">
        <v>20</v>
      </c>
      <c r="D74" s="2" t="s">
        <v>17</v>
      </c>
      <c r="E74" s="2">
        <v>76</v>
      </c>
      <c r="F74" s="2">
        <v>22</v>
      </c>
      <c r="G74" s="2">
        <v>1</v>
      </c>
      <c r="H74" s="2" t="s">
        <v>18</v>
      </c>
      <c r="I74" s="2">
        <v>1.5607204000116299</v>
      </c>
      <c r="J74" s="3" t="str">
        <f t="shared" si="1"/>
        <v>inconsistent</v>
      </c>
    </row>
    <row r="75" spans="1:10" x14ac:dyDescent="0.35">
      <c r="A75" t="s">
        <v>21</v>
      </c>
      <c r="B75" s="2" t="s">
        <v>22</v>
      </c>
      <c r="C75" s="2" t="s">
        <v>20</v>
      </c>
      <c r="D75" s="2" t="s">
        <v>17</v>
      </c>
      <c r="E75" s="2">
        <v>77</v>
      </c>
      <c r="F75" s="2">
        <v>23</v>
      </c>
      <c r="G75" s="2">
        <v>1</v>
      </c>
      <c r="H75" s="2" t="s">
        <v>18</v>
      </c>
      <c r="I75" s="2">
        <v>0.44642789999488702</v>
      </c>
      <c r="J75" s="3" t="str">
        <f t="shared" si="1"/>
        <v>consistent</v>
      </c>
    </row>
    <row r="76" spans="1:10" x14ac:dyDescent="0.35">
      <c r="A76" t="s">
        <v>43</v>
      </c>
      <c r="B76" s="2" t="s">
        <v>15</v>
      </c>
      <c r="C76" s="2" t="s">
        <v>60</v>
      </c>
      <c r="D76" s="2" t="s">
        <v>17</v>
      </c>
      <c r="E76" s="2">
        <v>78</v>
      </c>
      <c r="F76" s="2">
        <v>24</v>
      </c>
      <c r="G76" s="2">
        <v>1</v>
      </c>
      <c r="H76" s="2" t="s">
        <v>18</v>
      </c>
      <c r="I76" s="2">
        <v>0.74311819998547402</v>
      </c>
      <c r="J76" s="3" t="str">
        <f t="shared" si="1"/>
        <v>inconsistent</v>
      </c>
    </row>
    <row r="77" spans="1:10" x14ac:dyDescent="0.35">
      <c r="A77" t="s">
        <v>47</v>
      </c>
      <c r="B77" s="2" t="s">
        <v>22</v>
      </c>
      <c r="C77" s="2" t="s">
        <v>11</v>
      </c>
      <c r="D77" s="2" t="s">
        <v>12</v>
      </c>
      <c r="E77" s="2">
        <v>79</v>
      </c>
      <c r="F77" s="2">
        <v>25</v>
      </c>
      <c r="G77" s="2">
        <v>1</v>
      </c>
      <c r="H77" s="2" t="s">
        <v>13</v>
      </c>
      <c r="I77" s="2">
        <v>0.71557329996721797</v>
      </c>
      <c r="J77" s="3" t="str">
        <f t="shared" si="1"/>
        <v>inconsistent</v>
      </c>
    </row>
    <row r="78" spans="1:10" hidden="1" x14ac:dyDescent="0.35">
      <c r="A78" t="s">
        <v>51</v>
      </c>
      <c r="B78" s="2" t="s">
        <v>10</v>
      </c>
      <c r="C78" s="2" t="s">
        <v>56</v>
      </c>
      <c r="D78" s="2" t="s">
        <v>17</v>
      </c>
      <c r="E78" s="2">
        <v>80</v>
      </c>
      <c r="F78" s="2">
        <v>26</v>
      </c>
      <c r="G78" s="2">
        <v>1</v>
      </c>
      <c r="H78" s="2" t="s">
        <v>18</v>
      </c>
      <c r="I78" s="2">
        <v>0.89374460000544698</v>
      </c>
      <c r="J78" s="3" t="str">
        <f t="shared" si="1"/>
        <v>neutral</v>
      </c>
    </row>
    <row r="79" spans="1:10" hidden="1" x14ac:dyDescent="0.35">
      <c r="A79" t="s">
        <v>19</v>
      </c>
      <c r="B79" s="2" t="s">
        <v>10</v>
      </c>
      <c r="C79" s="2" t="s">
        <v>59</v>
      </c>
      <c r="D79" s="2" t="s">
        <v>12</v>
      </c>
      <c r="E79" s="2">
        <v>81</v>
      </c>
      <c r="F79" s="2">
        <v>27</v>
      </c>
      <c r="G79" s="2">
        <v>1</v>
      </c>
      <c r="H79" s="2" t="s">
        <v>13</v>
      </c>
      <c r="I79" s="2">
        <v>0.41776149999350298</v>
      </c>
      <c r="J79" s="3" t="str">
        <f t="shared" si="1"/>
        <v>neutral</v>
      </c>
    </row>
    <row r="80" spans="1:10" x14ac:dyDescent="0.35">
      <c r="A80" t="s">
        <v>52</v>
      </c>
      <c r="B80" s="2" t="s">
        <v>15</v>
      </c>
      <c r="C80" s="2" t="s">
        <v>55</v>
      </c>
      <c r="D80" s="2" t="s">
        <v>12</v>
      </c>
      <c r="E80" s="2">
        <v>82</v>
      </c>
      <c r="F80" s="2">
        <v>28</v>
      </c>
      <c r="G80" s="2">
        <v>1</v>
      </c>
      <c r="H80" s="2" t="s">
        <v>13</v>
      </c>
      <c r="I80" s="2">
        <v>0.44164839998120398</v>
      </c>
      <c r="J80" s="3" t="str">
        <f t="shared" si="1"/>
        <v>consistent</v>
      </c>
    </row>
    <row r="81" spans="1:10" x14ac:dyDescent="0.35">
      <c r="A81" t="s">
        <v>32</v>
      </c>
      <c r="B81" s="2" t="s">
        <v>15</v>
      </c>
      <c r="C81" s="2" t="s">
        <v>31</v>
      </c>
      <c r="D81" s="2" t="s">
        <v>17</v>
      </c>
      <c r="E81" s="2">
        <v>83</v>
      </c>
      <c r="F81" s="2">
        <v>29</v>
      </c>
      <c r="G81" s="2">
        <v>1</v>
      </c>
      <c r="H81" s="2" t="s">
        <v>18</v>
      </c>
      <c r="I81" s="2">
        <v>0.85402590001467604</v>
      </c>
      <c r="J81" s="3" t="str">
        <f t="shared" si="1"/>
        <v>inconsistent</v>
      </c>
    </row>
    <row r="82" spans="1:10" x14ac:dyDescent="0.35">
      <c r="A82" t="s">
        <v>35</v>
      </c>
      <c r="B82" s="2" t="s">
        <v>22</v>
      </c>
      <c r="C82" s="2" t="s">
        <v>36</v>
      </c>
      <c r="D82" s="2" t="s">
        <v>17</v>
      </c>
      <c r="E82" s="2">
        <v>84</v>
      </c>
      <c r="F82" s="2">
        <v>30</v>
      </c>
      <c r="G82" s="2">
        <v>1</v>
      </c>
      <c r="H82" s="2" t="s">
        <v>18</v>
      </c>
      <c r="I82" s="2">
        <v>0.41188090003561201</v>
      </c>
      <c r="J82" s="3" t="str">
        <f t="shared" si="1"/>
        <v>consistent</v>
      </c>
    </row>
    <row r="83" spans="1:10" x14ac:dyDescent="0.35">
      <c r="A83" t="s">
        <v>21</v>
      </c>
      <c r="B83" s="2" t="s">
        <v>22</v>
      </c>
      <c r="C83" s="2" t="s">
        <v>59</v>
      </c>
      <c r="D83" s="2" t="s">
        <v>12</v>
      </c>
      <c r="E83" s="2">
        <v>85</v>
      </c>
      <c r="F83" s="2">
        <v>31</v>
      </c>
      <c r="G83" s="2">
        <v>1</v>
      </c>
      <c r="H83" s="2" t="s">
        <v>13</v>
      </c>
      <c r="I83" s="2">
        <v>0.50416000001132399</v>
      </c>
      <c r="J83" s="3" t="str">
        <f t="shared" si="1"/>
        <v>inconsistent</v>
      </c>
    </row>
    <row r="84" spans="1:10" x14ac:dyDescent="0.35">
      <c r="A84" t="s">
        <v>35</v>
      </c>
      <c r="B84" s="2" t="s">
        <v>22</v>
      </c>
      <c r="C84" s="2" t="s">
        <v>42</v>
      </c>
      <c r="D84" s="2" t="s">
        <v>12</v>
      </c>
      <c r="E84" s="2">
        <v>86</v>
      </c>
      <c r="F84" s="2">
        <v>32</v>
      </c>
      <c r="G84" s="2">
        <v>1</v>
      </c>
      <c r="H84" s="2" t="s">
        <v>13</v>
      </c>
      <c r="I84" s="2">
        <v>0.49469580000732</v>
      </c>
      <c r="J84" s="3" t="str">
        <f t="shared" si="1"/>
        <v>inconsistent</v>
      </c>
    </row>
    <row r="85" spans="1:10" x14ac:dyDescent="0.35">
      <c r="A85" t="s">
        <v>48</v>
      </c>
      <c r="B85" s="2" t="s">
        <v>15</v>
      </c>
      <c r="C85" s="2" t="s">
        <v>49</v>
      </c>
      <c r="D85" s="2" t="s">
        <v>12</v>
      </c>
      <c r="E85" s="2">
        <v>87</v>
      </c>
      <c r="F85" s="2">
        <v>33</v>
      </c>
      <c r="G85" s="2">
        <v>1</v>
      </c>
      <c r="H85" s="2" t="s">
        <v>13</v>
      </c>
      <c r="I85" s="2">
        <v>0.69800390000455004</v>
      </c>
      <c r="J85" s="3" t="str">
        <f t="shared" si="1"/>
        <v>consistent</v>
      </c>
    </row>
    <row r="86" spans="1:10" hidden="1" x14ac:dyDescent="0.35">
      <c r="A86" t="s">
        <v>51</v>
      </c>
      <c r="B86" s="2" t="s">
        <v>10</v>
      </c>
      <c r="C86" s="2" t="s">
        <v>49</v>
      </c>
      <c r="D86" s="2" t="s">
        <v>12</v>
      </c>
      <c r="E86" s="2">
        <v>88</v>
      </c>
      <c r="F86" s="2">
        <v>34</v>
      </c>
      <c r="G86" s="2">
        <v>1</v>
      </c>
      <c r="H86" s="2" t="s">
        <v>13</v>
      </c>
      <c r="I86" s="2">
        <v>0.52065600000787504</v>
      </c>
      <c r="J86" s="3" t="str">
        <f t="shared" si="1"/>
        <v>neutral</v>
      </c>
    </row>
    <row r="87" spans="1:10" hidden="1" x14ac:dyDescent="0.35">
      <c r="A87" t="s">
        <v>38</v>
      </c>
      <c r="B87" s="2" t="s">
        <v>10</v>
      </c>
      <c r="C87" s="2" t="s">
        <v>41</v>
      </c>
      <c r="D87" s="2" t="s">
        <v>12</v>
      </c>
      <c r="E87" s="2">
        <v>89</v>
      </c>
      <c r="F87" s="2">
        <v>35</v>
      </c>
      <c r="G87" s="2">
        <v>1</v>
      </c>
      <c r="H87" s="2" t="s">
        <v>13</v>
      </c>
      <c r="I87" s="2">
        <v>0.40756099997088302</v>
      </c>
      <c r="J87" s="3" t="str">
        <f t="shared" si="1"/>
        <v>neutral</v>
      </c>
    </row>
    <row r="88" spans="1:10" x14ac:dyDescent="0.35">
      <c r="A88" t="s">
        <v>57</v>
      </c>
      <c r="B88" s="2" t="s">
        <v>22</v>
      </c>
      <c r="C88" s="2" t="s">
        <v>53</v>
      </c>
      <c r="D88" s="2" t="s">
        <v>17</v>
      </c>
      <c r="E88" s="2">
        <v>90</v>
      </c>
      <c r="F88" s="2">
        <v>36</v>
      </c>
      <c r="G88" s="2">
        <v>1</v>
      </c>
      <c r="H88" s="2" t="s">
        <v>18</v>
      </c>
      <c r="I88" s="2">
        <v>0.43139990000054201</v>
      </c>
      <c r="J88" s="3" t="str">
        <f t="shared" si="1"/>
        <v>consistent</v>
      </c>
    </row>
    <row r="89" spans="1:10" hidden="1" x14ac:dyDescent="0.35">
      <c r="A89" t="s">
        <v>54</v>
      </c>
      <c r="B89" s="2" t="s">
        <v>10</v>
      </c>
      <c r="C89" s="2" t="s">
        <v>44</v>
      </c>
      <c r="D89" s="2" t="s">
        <v>12</v>
      </c>
      <c r="E89" s="2">
        <v>91</v>
      </c>
      <c r="F89" s="2">
        <v>37</v>
      </c>
      <c r="G89" s="2">
        <v>1</v>
      </c>
      <c r="H89" s="2" t="s">
        <v>13</v>
      </c>
      <c r="I89" s="2">
        <v>0.69054310000501495</v>
      </c>
      <c r="J89" s="3" t="str">
        <f t="shared" si="1"/>
        <v>neutral</v>
      </c>
    </row>
    <row r="90" spans="1:10" x14ac:dyDescent="0.35">
      <c r="A90" t="s">
        <v>14</v>
      </c>
      <c r="B90" s="2" t="s">
        <v>15</v>
      </c>
      <c r="C90" s="2" t="s">
        <v>16</v>
      </c>
      <c r="D90" s="2" t="s">
        <v>17</v>
      </c>
      <c r="E90" s="2">
        <v>92</v>
      </c>
      <c r="F90" s="2">
        <v>38</v>
      </c>
      <c r="G90" s="2">
        <v>1</v>
      </c>
      <c r="H90" s="2" t="s">
        <v>18</v>
      </c>
      <c r="I90" s="2">
        <v>0.49761089996900398</v>
      </c>
      <c r="J90" s="3" t="str">
        <f t="shared" si="1"/>
        <v>inconsistent</v>
      </c>
    </row>
    <row r="91" spans="1:10" hidden="1" x14ac:dyDescent="0.35">
      <c r="A91" t="s">
        <v>58</v>
      </c>
      <c r="B91" s="2" t="s">
        <v>10</v>
      </c>
      <c r="C91" s="2" t="s">
        <v>42</v>
      </c>
      <c r="D91" s="2" t="s">
        <v>12</v>
      </c>
      <c r="E91" s="2">
        <v>93</v>
      </c>
      <c r="F91" s="2">
        <v>39</v>
      </c>
      <c r="G91" s="2">
        <v>1</v>
      </c>
      <c r="H91" s="2" t="s">
        <v>13</v>
      </c>
      <c r="I91" s="2">
        <v>0.73737190000247199</v>
      </c>
      <c r="J91" s="3" t="str">
        <f t="shared" si="1"/>
        <v>neutral</v>
      </c>
    </row>
    <row r="92" spans="1:10" x14ac:dyDescent="0.35">
      <c r="A92" t="s">
        <v>62</v>
      </c>
      <c r="B92" s="2" t="s">
        <v>15</v>
      </c>
      <c r="C92" s="2" t="s">
        <v>42</v>
      </c>
      <c r="D92" s="2" t="s">
        <v>12</v>
      </c>
      <c r="E92" s="2">
        <v>94</v>
      </c>
      <c r="F92" s="2">
        <v>40</v>
      </c>
      <c r="G92" s="2">
        <v>1</v>
      </c>
      <c r="H92" s="2" t="s">
        <v>13</v>
      </c>
      <c r="I92" s="2">
        <v>0.66191649995744195</v>
      </c>
      <c r="J92" s="3" t="str">
        <f t="shared" si="1"/>
        <v>consistent</v>
      </c>
    </row>
    <row r="93" spans="1:10" x14ac:dyDescent="0.35">
      <c r="A93" t="s">
        <v>62</v>
      </c>
      <c r="B93" s="2" t="s">
        <v>15</v>
      </c>
      <c r="C93" s="2" t="s">
        <v>36</v>
      </c>
      <c r="D93" s="2" t="s">
        <v>17</v>
      </c>
      <c r="E93" s="2">
        <v>95</v>
      </c>
      <c r="F93" s="2">
        <v>41</v>
      </c>
      <c r="G93" s="2">
        <v>1</v>
      </c>
      <c r="H93" s="2" t="s">
        <v>18</v>
      </c>
      <c r="I93" s="2">
        <v>0.48883669998031098</v>
      </c>
      <c r="J93" s="3" t="str">
        <f t="shared" si="1"/>
        <v>inconsistent</v>
      </c>
    </row>
    <row r="94" spans="1:10" x14ac:dyDescent="0.35">
      <c r="A94" t="s">
        <v>32</v>
      </c>
      <c r="B94" s="2" t="s">
        <v>15</v>
      </c>
      <c r="C94" s="2" t="s">
        <v>33</v>
      </c>
      <c r="D94" s="2" t="s">
        <v>12</v>
      </c>
      <c r="E94" s="2">
        <v>96</v>
      </c>
      <c r="F94" s="2">
        <v>42</v>
      </c>
      <c r="G94" s="2">
        <v>1</v>
      </c>
      <c r="H94" s="2" t="s">
        <v>13</v>
      </c>
      <c r="I94" s="2">
        <v>0.62561360001564004</v>
      </c>
      <c r="J94" s="3" t="str">
        <f t="shared" si="1"/>
        <v>consistent</v>
      </c>
    </row>
    <row r="95" spans="1:10" x14ac:dyDescent="0.35">
      <c r="A95" t="s">
        <v>50</v>
      </c>
      <c r="B95" s="2" t="s">
        <v>15</v>
      </c>
      <c r="C95" s="2" t="s">
        <v>59</v>
      </c>
      <c r="D95" s="2" t="s">
        <v>12</v>
      </c>
      <c r="E95" s="2">
        <v>97</v>
      </c>
      <c r="F95" s="2">
        <v>43</v>
      </c>
      <c r="G95" s="2">
        <v>1</v>
      </c>
      <c r="H95" s="2" t="s">
        <v>13</v>
      </c>
      <c r="I95" s="2">
        <v>0.50503349996870295</v>
      </c>
      <c r="J95" s="3" t="str">
        <f t="shared" si="1"/>
        <v>consistent</v>
      </c>
    </row>
    <row r="96" spans="1:10" x14ac:dyDescent="0.35">
      <c r="A96" t="s">
        <v>61</v>
      </c>
      <c r="B96" s="2" t="s">
        <v>22</v>
      </c>
      <c r="C96" s="2" t="s">
        <v>60</v>
      </c>
      <c r="D96" s="2" t="s">
        <v>17</v>
      </c>
      <c r="E96" s="2">
        <v>98</v>
      </c>
      <c r="F96" s="2">
        <v>44</v>
      </c>
      <c r="G96" s="2">
        <v>1</v>
      </c>
      <c r="H96" s="2" t="s">
        <v>18</v>
      </c>
      <c r="I96" s="2">
        <v>0.51497030002065003</v>
      </c>
      <c r="J96" s="3" t="str">
        <f t="shared" si="1"/>
        <v>consistent</v>
      </c>
    </row>
    <row r="97" spans="1:10" hidden="1" x14ac:dyDescent="0.35">
      <c r="A97" t="s">
        <v>38</v>
      </c>
      <c r="B97" s="2" t="s">
        <v>10</v>
      </c>
      <c r="C97" s="2" t="s">
        <v>39</v>
      </c>
      <c r="D97" s="2" t="s">
        <v>17</v>
      </c>
      <c r="E97" s="2">
        <v>99</v>
      </c>
      <c r="F97" s="2">
        <v>45</v>
      </c>
      <c r="G97" s="2">
        <v>1</v>
      </c>
      <c r="H97" s="2" t="s">
        <v>18</v>
      </c>
      <c r="I97" s="2">
        <v>0.66648590000113395</v>
      </c>
      <c r="J97" s="3" t="str">
        <f t="shared" si="1"/>
        <v>neutral</v>
      </c>
    </row>
    <row r="98" spans="1:10" x14ac:dyDescent="0.35">
      <c r="A98" t="s">
        <v>26</v>
      </c>
      <c r="B98" s="2" t="s">
        <v>22</v>
      </c>
      <c r="C98" s="2" t="s">
        <v>27</v>
      </c>
      <c r="D98" s="2" t="s">
        <v>17</v>
      </c>
      <c r="E98" s="2">
        <v>100</v>
      </c>
      <c r="F98" s="2">
        <v>46</v>
      </c>
      <c r="G98" s="2">
        <v>1</v>
      </c>
      <c r="H98" s="2" t="s">
        <v>18</v>
      </c>
      <c r="I98" s="2">
        <v>0.74893279996467699</v>
      </c>
      <c r="J98" s="3" t="str">
        <f t="shared" si="1"/>
        <v>consistent</v>
      </c>
    </row>
    <row r="99" spans="1:10" x14ac:dyDescent="0.35">
      <c r="A99" t="s">
        <v>61</v>
      </c>
      <c r="B99" s="2" t="s">
        <v>22</v>
      </c>
      <c r="C99" s="2" t="s">
        <v>44</v>
      </c>
      <c r="D99" s="2" t="s">
        <v>12</v>
      </c>
      <c r="E99" s="2">
        <v>101</v>
      </c>
      <c r="F99" s="2">
        <v>47</v>
      </c>
      <c r="G99" s="2">
        <v>1</v>
      </c>
      <c r="H99" s="2" t="s">
        <v>13</v>
      </c>
      <c r="I99" s="2">
        <v>0.44421560002956501</v>
      </c>
      <c r="J99" s="3" t="str">
        <f t="shared" si="1"/>
        <v>inconsistent</v>
      </c>
    </row>
    <row r="100" spans="1:10" x14ac:dyDescent="0.35">
      <c r="A100" t="s">
        <v>46</v>
      </c>
      <c r="B100" s="2" t="s">
        <v>15</v>
      </c>
      <c r="C100" s="2" t="s">
        <v>39</v>
      </c>
      <c r="D100" s="2" t="s">
        <v>17</v>
      </c>
      <c r="E100" s="2">
        <v>102</v>
      </c>
      <c r="F100" s="2">
        <v>48</v>
      </c>
      <c r="G100" s="2">
        <v>1</v>
      </c>
      <c r="H100" s="2" t="s">
        <v>18</v>
      </c>
      <c r="I100" s="2">
        <v>0.60745499999029495</v>
      </c>
      <c r="J100" s="3" t="str">
        <f t="shared" si="1"/>
        <v>inconsistent</v>
      </c>
    </row>
    <row r="101" spans="1:10" x14ac:dyDescent="0.35">
      <c r="A101" t="s">
        <v>25</v>
      </c>
      <c r="B101" s="2" t="s">
        <v>22</v>
      </c>
      <c r="C101" s="2" t="s">
        <v>24</v>
      </c>
      <c r="D101" s="2" t="s">
        <v>12</v>
      </c>
      <c r="E101" s="2">
        <v>104</v>
      </c>
      <c r="F101" s="2">
        <v>50</v>
      </c>
      <c r="G101" s="2">
        <v>1</v>
      </c>
      <c r="H101" s="2" t="s">
        <v>13</v>
      </c>
      <c r="I101" s="2">
        <v>0.78583920001983598</v>
      </c>
      <c r="J101" s="3" t="str">
        <f t="shared" si="1"/>
        <v>inconsistent</v>
      </c>
    </row>
    <row r="102" spans="1:10" hidden="1" x14ac:dyDescent="0.35">
      <c r="A102" t="s">
        <v>23</v>
      </c>
      <c r="B102" s="2" t="s">
        <v>10</v>
      </c>
      <c r="C102" s="2" t="s">
        <v>16</v>
      </c>
      <c r="D102" s="2" t="s">
        <v>17</v>
      </c>
      <c r="E102" s="2">
        <v>105</v>
      </c>
      <c r="F102" s="2">
        <v>51</v>
      </c>
      <c r="G102" s="2">
        <v>1</v>
      </c>
      <c r="H102" s="2" t="s">
        <v>18</v>
      </c>
      <c r="I102" s="2">
        <v>0.53268969996133797</v>
      </c>
      <c r="J102" s="3" t="str">
        <f t="shared" si="1"/>
        <v>neutral</v>
      </c>
    </row>
    <row r="103" spans="1:10" x14ac:dyDescent="0.35">
      <c r="A103" t="s">
        <v>46</v>
      </c>
      <c r="B103" s="2" t="s">
        <v>15</v>
      </c>
      <c r="C103" s="2" t="s">
        <v>41</v>
      </c>
      <c r="D103" s="2" t="s">
        <v>12</v>
      </c>
      <c r="E103" s="2">
        <v>106</v>
      </c>
      <c r="F103" s="2">
        <v>52</v>
      </c>
      <c r="G103" s="2">
        <v>1</v>
      </c>
      <c r="H103" s="2" t="s">
        <v>13</v>
      </c>
      <c r="I103" s="2">
        <v>1.5082208000239901</v>
      </c>
      <c r="J103" s="3" t="str">
        <f t="shared" si="1"/>
        <v>consistent</v>
      </c>
    </row>
    <row r="104" spans="1:10" x14ac:dyDescent="0.35">
      <c r="A104" t="s">
        <v>47</v>
      </c>
      <c r="B104" s="2" t="s">
        <v>22</v>
      </c>
      <c r="C104" s="2" t="s">
        <v>37</v>
      </c>
      <c r="D104" s="2" t="s">
        <v>17</v>
      </c>
      <c r="E104" s="2">
        <v>107</v>
      </c>
      <c r="F104" s="2">
        <v>53</v>
      </c>
      <c r="G104" s="2">
        <v>1</v>
      </c>
      <c r="H104" s="2" t="s">
        <v>18</v>
      </c>
      <c r="I104" s="2">
        <v>0.459586700017098</v>
      </c>
      <c r="J104" s="3" t="str">
        <f t="shared" si="1"/>
        <v>consistent</v>
      </c>
    </row>
  </sheetData>
  <autoFilter ref="J1:J104" xr:uid="{EA772C97-49DB-4063-AA3D-2ED9EDEFC1CE}">
    <filterColumn colId="0">
      <filters blank="1">
        <filter val="consistent"/>
        <filter val="inconsisten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77D9-C2DA-438B-B4A3-4036BB8FDF98}">
  <sheetPr filterMode="1"/>
  <dimension ref="A1:L107"/>
  <sheetViews>
    <sheetView workbookViewId="0">
      <selection activeCell="L20" sqref="L20"/>
    </sheetView>
  </sheetViews>
  <sheetFormatPr defaultRowHeight="14.5" x14ac:dyDescent="0.35"/>
  <cols>
    <col min="9" max="9" width="16.90625" customWidth="1"/>
    <col min="10" max="10" width="15.26953125" customWidth="1"/>
    <col min="11" max="11" width="21.36328125" customWidth="1"/>
    <col min="12" max="47" width="15.26953125" customWidth="1"/>
  </cols>
  <sheetData>
    <row r="1" spans="1:12" s="7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69</v>
      </c>
    </row>
    <row r="2" spans="1:12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2" hidden="1" x14ac:dyDescent="0.35">
      <c r="A3" s="2" t="s">
        <v>19</v>
      </c>
      <c r="B3" s="2" t="s">
        <v>10</v>
      </c>
      <c r="C3" s="2" t="s">
        <v>20</v>
      </c>
      <c r="D3" s="2" t="s">
        <v>17</v>
      </c>
      <c r="E3" s="2">
        <v>0</v>
      </c>
      <c r="F3" s="2">
        <v>0</v>
      </c>
      <c r="G3" s="2">
        <v>0</v>
      </c>
      <c r="H3" s="2" t="s">
        <v>18</v>
      </c>
      <c r="I3" s="2">
        <v>0.66670479997992504</v>
      </c>
      <c r="J3" s="3" t="str">
        <f>IF(OR(AND(B3="masculine",D3="male"), AND(B3="feminine",D3="female")), "consistent",
IF(OR(AND(B3="masculine",D3="female"), AND(B3="feminine",D3="male")), "inconsistent","neutral"))</f>
        <v>neutral</v>
      </c>
    </row>
    <row r="4" spans="1:12" x14ac:dyDescent="0.35">
      <c r="A4" s="2" t="s">
        <v>57</v>
      </c>
      <c r="B4" s="2" t="s">
        <v>22</v>
      </c>
      <c r="C4" s="2" t="s">
        <v>53</v>
      </c>
      <c r="D4" s="2" t="s">
        <v>17</v>
      </c>
      <c r="E4" s="2">
        <v>1</v>
      </c>
      <c r="F4" s="2">
        <v>1</v>
      </c>
      <c r="G4" s="2">
        <v>0</v>
      </c>
      <c r="H4" s="2" t="s">
        <v>18</v>
      </c>
      <c r="I4" s="2">
        <v>0.81264619994908505</v>
      </c>
      <c r="J4" s="3" t="str">
        <f t="shared" ref="J4:J67" si="0">IF(OR(AND(B4="masculine",D4="male"), AND(B4="feminine",D4="female")), "consistent",
IF(OR(AND(B4="masculine",D4="female"), AND(B4="feminine",D4="male")), "inconsistent","neutral"))</f>
        <v>consistent</v>
      </c>
    </row>
    <row r="5" spans="1:12" hidden="1" x14ac:dyDescent="0.35">
      <c r="A5" s="2" t="s">
        <v>23</v>
      </c>
      <c r="B5" s="2" t="s">
        <v>10</v>
      </c>
      <c r="C5" s="2" t="s">
        <v>24</v>
      </c>
      <c r="D5" s="2" t="s">
        <v>12</v>
      </c>
      <c r="E5" s="2">
        <v>2</v>
      </c>
      <c r="F5" s="2">
        <v>2</v>
      </c>
      <c r="G5" s="2">
        <v>0</v>
      </c>
      <c r="H5" s="2" t="s">
        <v>13</v>
      </c>
      <c r="I5" s="2">
        <v>0.65109409997239698</v>
      </c>
      <c r="J5" s="3" t="str">
        <f t="shared" si="0"/>
        <v>neutral</v>
      </c>
    </row>
    <row r="6" spans="1:12" x14ac:dyDescent="0.35">
      <c r="A6" s="2" t="s">
        <v>52</v>
      </c>
      <c r="B6" s="2" t="s">
        <v>15</v>
      </c>
      <c r="C6" s="2" t="s">
        <v>55</v>
      </c>
      <c r="D6" s="2" t="s">
        <v>12</v>
      </c>
      <c r="E6" s="2">
        <v>3</v>
      </c>
      <c r="F6" s="2">
        <v>3</v>
      </c>
      <c r="G6" s="2">
        <v>0</v>
      </c>
      <c r="H6" s="2" t="s">
        <v>13</v>
      </c>
      <c r="I6" s="2">
        <v>0.50442150002345398</v>
      </c>
      <c r="J6" s="3" t="str">
        <f t="shared" si="0"/>
        <v>consistent</v>
      </c>
    </row>
    <row r="7" spans="1:12" x14ac:dyDescent="0.35">
      <c r="A7" s="2" t="s">
        <v>14</v>
      </c>
      <c r="B7" s="2" t="s">
        <v>15</v>
      </c>
      <c r="C7" s="2" t="s">
        <v>16</v>
      </c>
      <c r="D7" s="2" t="s">
        <v>17</v>
      </c>
      <c r="E7" s="2">
        <v>4</v>
      </c>
      <c r="F7" s="2">
        <v>4</v>
      </c>
      <c r="G7" s="2">
        <v>0</v>
      </c>
      <c r="H7" s="2" t="s">
        <v>18</v>
      </c>
      <c r="I7" s="2">
        <v>0.58137899998109699</v>
      </c>
      <c r="J7" s="3" t="str">
        <f t="shared" si="0"/>
        <v>inconsistent</v>
      </c>
      <c r="K7" s="2" t="s">
        <v>73</v>
      </c>
      <c r="L7" s="4">
        <f>AVERAGE(I7:I106)</f>
        <v>0.67818204200069843</v>
      </c>
    </row>
    <row r="8" spans="1:12" x14ac:dyDescent="0.35">
      <c r="A8" s="2" t="s">
        <v>46</v>
      </c>
      <c r="B8" s="2" t="s">
        <v>15</v>
      </c>
      <c r="C8" s="2" t="s">
        <v>41</v>
      </c>
      <c r="D8" s="2" t="s">
        <v>12</v>
      </c>
      <c r="E8" s="2">
        <v>6</v>
      </c>
      <c r="F8" s="2">
        <v>6</v>
      </c>
      <c r="G8" s="2">
        <v>0</v>
      </c>
      <c r="H8" s="2" t="s">
        <v>13</v>
      </c>
      <c r="I8" s="2">
        <v>0.83200659998692506</v>
      </c>
      <c r="J8" s="3" t="str">
        <f t="shared" si="0"/>
        <v>consistent</v>
      </c>
      <c r="K8" s="2" t="s">
        <v>72</v>
      </c>
      <c r="L8" s="4">
        <f>AVERAGE(I4:I107)</f>
        <v>0.67602704807695035</v>
      </c>
    </row>
    <row r="9" spans="1:12" x14ac:dyDescent="0.35">
      <c r="A9" s="2" t="s">
        <v>62</v>
      </c>
      <c r="B9" s="2" t="s">
        <v>15</v>
      </c>
      <c r="C9" s="2" t="s">
        <v>36</v>
      </c>
      <c r="D9" s="2" t="s">
        <v>17</v>
      </c>
      <c r="E9" s="2">
        <v>7</v>
      </c>
      <c r="F9" s="2">
        <v>7</v>
      </c>
      <c r="G9" s="2">
        <v>0</v>
      </c>
      <c r="H9" s="2" t="s">
        <v>18</v>
      </c>
      <c r="I9" s="2">
        <v>0.52483329997630701</v>
      </c>
      <c r="J9" s="3" t="str">
        <f t="shared" si="0"/>
        <v>inconsistent</v>
      </c>
    </row>
    <row r="10" spans="1:12" hidden="1" x14ac:dyDescent="0.35">
      <c r="A10" s="2" t="s">
        <v>38</v>
      </c>
      <c r="B10" s="2" t="s">
        <v>10</v>
      </c>
      <c r="C10" s="2" t="s">
        <v>41</v>
      </c>
      <c r="D10" s="2" t="s">
        <v>12</v>
      </c>
      <c r="E10" s="2">
        <v>8</v>
      </c>
      <c r="F10" s="2">
        <v>8</v>
      </c>
      <c r="G10" s="2">
        <v>0</v>
      </c>
      <c r="H10" s="2" t="s">
        <v>13</v>
      </c>
      <c r="I10" s="2">
        <v>0.45402180001838099</v>
      </c>
      <c r="J10" s="3" t="str">
        <f t="shared" si="0"/>
        <v>neutral</v>
      </c>
    </row>
    <row r="11" spans="1:12" hidden="1" x14ac:dyDescent="0.35">
      <c r="A11" s="2" t="s">
        <v>45</v>
      </c>
      <c r="B11" s="2" t="s">
        <v>10</v>
      </c>
      <c r="C11" s="2" t="s">
        <v>31</v>
      </c>
      <c r="D11" s="2" t="s">
        <v>17</v>
      </c>
      <c r="E11" s="2">
        <v>9</v>
      </c>
      <c r="F11" s="2">
        <v>9</v>
      </c>
      <c r="G11" s="2">
        <v>0</v>
      </c>
      <c r="H11" s="2" t="s">
        <v>18</v>
      </c>
      <c r="I11" s="2">
        <v>0.49441779998596702</v>
      </c>
      <c r="J11" s="3" t="str">
        <f t="shared" si="0"/>
        <v>neutral</v>
      </c>
    </row>
    <row r="12" spans="1:12" hidden="1" x14ac:dyDescent="0.35">
      <c r="A12" s="2" t="s">
        <v>9</v>
      </c>
      <c r="B12" s="2" t="s">
        <v>10</v>
      </c>
      <c r="C12" s="2" t="s">
        <v>11</v>
      </c>
      <c r="D12" s="2" t="s">
        <v>12</v>
      </c>
      <c r="E12" s="2">
        <v>10</v>
      </c>
      <c r="F12" s="2">
        <v>10</v>
      </c>
      <c r="G12" s="2">
        <v>0</v>
      </c>
      <c r="H12" s="2" t="s">
        <v>13</v>
      </c>
      <c r="I12" s="2">
        <v>0.50196750002214596</v>
      </c>
      <c r="J12" s="3" t="str">
        <f t="shared" si="0"/>
        <v>neutral</v>
      </c>
    </row>
    <row r="13" spans="1:12" x14ac:dyDescent="0.35">
      <c r="A13" s="2" t="s">
        <v>61</v>
      </c>
      <c r="B13" s="2" t="s">
        <v>22</v>
      </c>
      <c r="C13" s="2" t="s">
        <v>60</v>
      </c>
      <c r="D13" s="2" t="s">
        <v>17</v>
      </c>
      <c r="E13" s="2">
        <v>11</v>
      </c>
      <c r="F13" s="2">
        <v>11</v>
      </c>
      <c r="G13" s="2">
        <v>0</v>
      </c>
      <c r="H13" s="2" t="s">
        <v>18</v>
      </c>
      <c r="I13" s="2">
        <v>0.60953909996896904</v>
      </c>
      <c r="J13" s="3" t="str">
        <f t="shared" si="0"/>
        <v>consistent</v>
      </c>
    </row>
    <row r="14" spans="1:12" x14ac:dyDescent="0.35">
      <c r="A14" s="2" t="s">
        <v>32</v>
      </c>
      <c r="B14" s="2" t="s">
        <v>15</v>
      </c>
      <c r="C14" s="2" t="s">
        <v>33</v>
      </c>
      <c r="D14" s="2" t="s">
        <v>12</v>
      </c>
      <c r="E14" s="2">
        <v>12</v>
      </c>
      <c r="F14" s="2">
        <v>12</v>
      </c>
      <c r="G14" s="2">
        <v>0</v>
      </c>
      <c r="H14" s="2" t="s">
        <v>13</v>
      </c>
      <c r="I14" s="2">
        <v>0.34596249996684397</v>
      </c>
      <c r="J14" s="3" t="str">
        <f t="shared" si="0"/>
        <v>consistent</v>
      </c>
    </row>
    <row r="15" spans="1:12" hidden="1" x14ac:dyDescent="0.35">
      <c r="A15" s="2" t="s">
        <v>19</v>
      </c>
      <c r="B15" s="2" t="s">
        <v>10</v>
      </c>
      <c r="C15" s="2" t="s">
        <v>59</v>
      </c>
      <c r="D15" s="2" t="s">
        <v>12</v>
      </c>
      <c r="E15" s="2">
        <v>14</v>
      </c>
      <c r="F15" s="2">
        <v>14</v>
      </c>
      <c r="G15" s="2">
        <v>0</v>
      </c>
      <c r="H15" s="2" t="s">
        <v>13</v>
      </c>
      <c r="I15" s="2">
        <v>1.0729065999621501</v>
      </c>
      <c r="J15" s="3" t="str">
        <f t="shared" si="0"/>
        <v>neutral</v>
      </c>
    </row>
    <row r="16" spans="1:12" x14ac:dyDescent="0.35">
      <c r="A16" s="2" t="s">
        <v>34</v>
      </c>
      <c r="B16" s="2" t="s">
        <v>15</v>
      </c>
      <c r="C16" s="2" t="s">
        <v>11</v>
      </c>
      <c r="D16" s="2" t="s">
        <v>12</v>
      </c>
      <c r="E16" s="2">
        <v>15</v>
      </c>
      <c r="F16" s="2">
        <v>15</v>
      </c>
      <c r="G16" s="2">
        <v>0</v>
      </c>
      <c r="H16" s="2" t="s">
        <v>13</v>
      </c>
      <c r="I16" s="2">
        <v>0.594738700019661</v>
      </c>
      <c r="J16" s="3" t="str">
        <f t="shared" si="0"/>
        <v>consistent</v>
      </c>
      <c r="K16" s="2" t="s">
        <v>76</v>
      </c>
      <c r="L16" s="4">
        <f>AVERAGEIFS(I4:I107, J4:J107, "consistent", D4:D107, "male")</f>
        <v>0.60752354999486746</v>
      </c>
    </row>
    <row r="17" spans="1:12" x14ac:dyDescent="0.35">
      <c r="A17" s="2" t="s">
        <v>61</v>
      </c>
      <c r="B17" s="2" t="s">
        <v>22</v>
      </c>
      <c r="C17" s="2" t="s">
        <v>44</v>
      </c>
      <c r="D17" s="2" t="s">
        <v>12</v>
      </c>
      <c r="E17" s="2">
        <v>16</v>
      </c>
      <c r="F17" s="2">
        <v>16</v>
      </c>
      <c r="G17" s="2">
        <v>0</v>
      </c>
      <c r="H17" s="2" t="s">
        <v>13</v>
      </c>
      <c r="I17" s="2">
        <v>0.72173039999324795</v>
      </c>
      <c r="J17" s="3" t="str">
        <f t="shared" si="0"/>
        <v>inconsistent</v>
      </c>
      <c r="K17" s="2" t="s">
        <v>77</v>
      </c>
      <c r="L17" s="4">
        <f>AVERAGEIFS(I4:I107, J4:J107, "consistent", D4:D107, "female")</f>
        <v>0.61944499500677885</v>
      </c>
    </row>
    <row r="18" spans="1:12" hidden="1" x14ac:dyDescent="0.35">
      <c r="A18" s="2" t="s">
        <v>54</v>
      </c>
      <c r="B18" s="2" t="s">
        <v>10</v>
      </c>
      <c r="C18" s="2" t="s">
        <v>60</v>
      </c>
      <c r="D18" s="2" t="s">
        <v>17</v>
      </c>
      <c r="E18" s="2">
        <v>17</v>
      </c>
      <c r="F18" s="2">
        <v>17</v>
      </c>
      <c r="G18" s="2">
        <v>0</v>
      </c>
      <c r="H18" s="2" t="s">
        <v>18</v>
      </c>
      <c r="I18" s="2">
        <v>0.58204499998828396</v>
      </c>
      <c r="J18" s="3" t="str">
        <f t="shared" si="0"/>
        <v>neutral</v>
      </c>
      <c r="K18" s="9"/>
    </row>
    <row r="19" spans="1:12" x14ac:dyDescent="0.35">
      <c r="A19" s="2" t="s">
        <v>21</v>
      </c>
      <c r="B19" s="2" t="s">
        <v>22</v>
      </c>
      <c r="C19" s="2" t="s">
        <v>20</v>
      </c>
      <c r="D19" s="2" t="s">
        <v>17</v>
      </c>
      <c r="E19" s="2">
        <v>18</v>
      </c>
      <c r="F19" s="2">
        <v>18</v>
      </c>
      <c r="G19" s="2">
        <v>0</v>
      </c>
      <c r="H19" s="2" t="s">
        <v>18</v>
      </c>
      <c r="I19" s="2">
        <v>0.582238100003451</v>
      </c>
      <c r="J19" s="3" t="str">
        <f t="shared" si="0"/>
        <v>consistent</v>
      </c>
      <c r="K19" s="2" t="s">
        <v>78</v>
      </c>
      <c r="L19" s="4">
        <f>AVERAGEIFS(I4:I107, J4:J107, "inconsistent", D4:D107, "male")</f>
        <v>0.74932035789396023</v>
      </c>
    </row>
    <row r="20" spans="1:12" x14ac:dyDescent="0.35">
      <c r="A20" s="2" t="s">
        <v>32</v>
      </c>
      <c r="B20" s="2" t="s">
        <v>15</v>
      </c>
      <c r="C20" s="2" t="s">
        <v>31</v>
      </c>
      <c r="D20" s="2" t="s">
        <v>17</v>
      </c>
      <c r="E20" s="2">
        <v>19</v>
      </c>
      <c r="F20" s="2">
        <v>19</v>
      </c>
      <c r="G20" s="2">
        <v>0</v>
      </c>
      <c r="H20" s="2" t="s">
        <v>18</v>
      </c>
      <c r="I20" s="2">
        <v>0.44917430001078101</v>
      </c>
      <c r="J20" s="3" t="str">
        <f t="shared" si="0"/>
        <v>inconsistent</v>
      </c>
      <c r="K20" s="2" t="s">
        <v>79</v>
      </c>
      <c r="L20" s="4">
        <f>AVERAGEIFS(I4:I107, J4:J107, "inconsistent", D4:D107, "female")</f>
        <v>0.76762429375594254</v>
      </c>
    </row>
    <row r="21" spans="1:12" x14ac:dyDescent="0.35">
      <c r="A21" s="2" t="s">
        <v>57</v>
      </c>
      <c r="B21" s="2" t="s">
        <v>22</v>
      </c>
      <c r="C21" s="2" t="s">
        <v>55</v>
      </c>
      <c r="D21" s="2" t="s">
        <v>12</v>
      </c>
      <c r="E21" s="2">
        <v>20</v>
      </c>
      <c r="F21" s="2">
        <v>20</v>
      </c>
      <c r="G21" s="2">
        <v>0</v>
      </c>
      <c r="H21" s="2" t="s">
        <v>13</v>
      </c>
      <c r="I21" s="2">
        <v>0.77394789998652402</v>
      </c>
      <c r="J21" s="3" t="str">
        <f t="shared" si="0"/>
        <v>inconsistent</v>
      </c>
    </row>
    <row r="22" spans="1:12" x14ac:dyDescent="0.35">
      <c r="A22" s="2" t="s">
        <v>43</v>
      </c>
      <c r="B22" s="2" t="s">
        <v>15</v>
      </c>
      <c r="C22" s="2" t="s">
        <v>60</v>
      </c>
      <c r="D22" s="2" t="s">
        <v>17</v>
      </c>
      <c r="E22" s="2">
        <v>21</v>
      </c>
      <c r="F22" s="2">
        <v>21</v>
      </c>
      <c r="G22" s="2">
        <v>0</v>
      </c>
      <c r="H22" s="2" t="s">
        <v>18</v>
      </c>
      <c r="I22" s="2">
        <v>1.13359669997589</v>
      </c>
      <c r="J22" s="3" t="str">
        <f t="shared" si="0"/>
        <v>inconsistent</v>
      </c>
    </row>
    <row r="23" spans="1:12" x14ac:dyDescent="0.35">
      <c r="A23" s="2" t="s">
        <v>46</v>
      </c>
      <c r="B23" s="2" t="s">
        <v>15</v>
      </c>
      <c r="C23" s="2" t="s">
        <v>39</v>
      </c>
      <c r="D23" s="2" t="s">
        <v>17</v>
      </c>
      <c r="E23" s="2">
        <v>22</v>
      </c>
      <c r="F23" s="2">
        <v>22</v>
      </c>
      <c r="G23" s="2">
        <v>0</v>
      </c>
      <c r="H23" s="2" t="s">
        <v>18</v>
      </c>
      <c r="I23" s="2">
        <v>0.63016910001169801</v>
      </c>
      <c r="J23" s="3" t="str">
        <f t="shared" si="0"/>
        <v>inconsistent</v>
      </c>
    </row>
    <row r="24" spans="1:12" x14ac:dyDescent="0.35">
      <c r="A24" s="2" t="s">
        <v>50</v>
      </c>
      <c r="B24" s="2" t="s">
        <v>15</v>
      </c>
      <c r="C24" s="2" t="s">
        <v>59</v>
      </c>
      <c r="D24" s="2" t="s">
        <v>12</v>
      </c>
      <c r="E24" s="2">
        <v>23</v>
      </c>
      <c r="F24" s="2">
        <v>23</v>
      </c>
      <c r="G24" s="2">
        <v>0</v>
      </c>
      <c r="H24" s="2" t="s">
        <v>13</v>
      </c>
      <c r="I24" s="2">
        <v>0.48082250001607402</v>
      </c>
      <c r="J24" s="3" t="str">
        <f t="shared" si="0"/>
        <v>consistent</v>
      </c>
    </row>
    <row r="25" spans="1:12" x14ac:dyDescent="0.35">
      <c r="A25" s="2" t="s">
        <v>62</v>
      </c>
      <c r="B25" s="2" t="s">
        <v>15</v>
      </c>
      <c r="C25" s="2" t="s">
        <v>42</v>
      </c>
      <c r="D25" s="2" t="s">
        <v>12</v>
      </c>
      <c r="E25" s="2">
        <v>24</v>
      </c>
      <c r="F25" s="2">
        <v>24</v>
      </c>
      <c r="G25" s="2">
        <v>0</v>
      </c>
      <c r="H25" s="2" t="s">
        <v>13</v>
      </c>
      <c r="I25" s="2">
        <v>0.48019900004146598</v>
      </c>
      <c r="J25" s="3" t="str">
        <f t="shared" si="0"/>
        <v>consistent</v>
      </c>
    </row>
    <row r="26" spans="1:12" hidden="1" x14ac:dyDescent="0.35">
      <c r="A26" s="2" t="s">
        <v>38</v>
      </c>
      <c r="B26" s="2" t="s">
        <v>10</v>
      </c>
      <c r="C26" s="2" t="s">
        <v>39</v>
      </c>
      <c r="D26" s="2" t="s">
        <v>17</v>
      </c>
      <c r="E26" s="2">
        <v>25</v>
      </c>
      <c r="F26" s="2">
        <v>25</v>
      </c>
      <c r="G26" s="2">
        <v>0</v>
      </c>
      <c r="H26" s="2" t="s">
        <v>18</v>
      </c>
      <c r="I26" s="2">
        <v>0.71992830000817698</v>
      </c>
      <c r="J26" s="3" t="str">
        <f t="shared" si="0"/>
        <v>neutral</v>
      </c>
    </row>
    <row r="27" spans="1:12" x14ac:dyDescent="0.35">
      <c r="A27" s="2" t="s">
        <v>35</v>
      </c>
      <c r="B27" s="2" t="s">
        <v>22</v>
      </c>
      <c r="C27" s="2" t="s">
        <v>36</v>
      </c>
      <c r="D27" s="2" t="s">
        <v>17</v>
      </c>
      <c r="E27" s="2">
        <v>26</v>
      </c>
      <c r="F27" s="2">
        <v>26</v>
      </c>
      <c r="G27" s="2">
        <v>0</v>
      </c>
      <c r="H27" s="2" t="s">
        <v>18</v>
      </c>
      <c r="I27" s="2">
        <v>0.77850869996473104</v>
      </c>
      <c r="J27" s="3" t="str">
        <f t="shared" si="0"/>
        <v>consistent</v>
      </c>
    </row>
    <row r="28" spans="1:12" hidden="1" x14ac:dyDescent="0.35">
      <c r="A28" s="2" t="s">
        <v>58</v>
      </c>
      <c r="B28" s="2" t="s">
        <v>10</v>
      </c>
      <c r="C28" s="2" t="s">
        <v>36</v>
      </c>
      <c r="D28" s="2" t="s">
        <v>17</v>
      </c>
      <c r="E28" s="2">
        <v>28</v>
      </c>
      <c r="F28" s="2">
        <v>28</v>
      </c>
      <c r="G28" s="2">
        <v>0</v>
      </c>
      <c r="H28" s="2" t="s">
        <v>18</v>
      </c>
      <c r="I28" s="2">
        <v>0.92336919996887401</v>
      </c>
      <c r="J28" s="3" t="str">
        <f t="shared" si="0"/>
        <v>neutral</v>
      </c>
    </row>
    <row r="29" spans="1:12" x14ac:dyDescent="0.35">
      <c r="A29" s="2" t="s">
        <v>48</v>
      </c>
      <c r="B29" s="2" t="s">
        <v>15</v>
      </c>
      <c r="C29" s="2" t="s">
        <v>56</v>
      </c>
      <c r="D29" s="2" t="s">
        <v>17</v>
      </c>
      <c r="E29" s="2">
        <v>29</v>
      </c>
      <c r="F29" s="2">
        <v>29</v>
      </c>
      <c r="G29" s="2">
        <v>0</v>
      </c>
      <c r="H29" s="2" t="s">
        <v>18</v>
      </c>
      <c r="I29" s="2">
        <v>0.80514279997441895</v>
      </c>
      <c r="J29" s="3" t="str">
        <f t="shared" si="0"/>
        <v>inconsistent</v>
      </c>
    </row>
    <row r="30" spans="1:12" hidden="1" x14ac:dyDescent="0.35">
      <c r="A30" s="2" t="s">
        <v>54</v>
      </c>
      <c r="B30" s="2" t="s">
        <v>10</v>
      </c>
      <c r="C30" s="2" t="s">
        <v>44</v>
      </c>
      <c r="D30" s="2" t="s">
        <v>12</v>
      </c>
      <c r="E30" s="2">
        <v>30</v>
      </c>
      <c r="F30" s="2">
        <v>30</v>
      </c>
      <c r="G30" s="2">
        <v>0</v>
      </c>
      <c r="H30" s="2" t="s">
        <v>13</v>
      </c>
      <c r="I30" s="2">
        <v>1.0454148999997399</v>
      </c>
      <c r="J30" s="3" t="str">
        <f t="shared" si="0"/>
        <v>neutral</v>
      </c>
    </row>
    <row r="31" spans="1:12" x14ac:dyDescent="0.35">
      <c r="A31" s="2" t="s">
        <v>28</v>
      </c>
      <c r="B31" s="2" t="s">
        <v>15</v>
      </c>
      <c r="C31" s="2" t="s">
        <v>29</v>
      </c>
      <c r="D31" s="2" t="s">
        <v>12</v>
      </c>
      <c r="E31" s="2">
        <v>31</v>
      </c>
      <c r="F31" s="2">
        <v>31</v>
      </c>
      <c r="G31" s="2">
        <v>0</v>
      </c>
      <c r="H31" s="2" t="s">
        <v>13</v>
      </c>
      <c r="I31" s="2">
        <v>1.0762169000227</v>
      </c>
      <c r="J31" s="3" t="str">
        <f t="shared" si="0"/>
        <v>consistent</v>
      </c>
    </row>
    <row r="32" spans="1:12" hidden="1" x14ac:dyDescent="0.35">
      <c r="A32" s="2" t="s">
        <v>9</v>
      </c>
      <c r="B32" s="2" t="s">
        <v>10</v>
      </c>
      <c r="C32" s="2" t="s">
        <v>37</v>
      </c>
      <c r="D32" s="2" t="s">
        <v>17</v>
      </c>
      <c r="E32" s="2">
        <v>32</v>
      </c>
      <c r="F32" s="2">
        <v>32</v>
      </c>
      <c r="G32" s="2">
        <v>0</v>
      </c>
      <c r="H32" s="2" t="s">
        <v>18</v>
      </c>
      <c r="I32" s="2">
        <v>0.48500270000658902</v>
      </c>
      <c r="J32" s="3" t="str">
        <f t="shared" si="0"/>
        <v>neutral</v>
      </c>
    </row>
    <row r="33" spans="1:10" x14ac:dyDescent="0.35">
      <c r="A33" s="2" t="s">
        <v>52</v>
      </c>
      <c r="B33" s="2" t="s">
        <v>15</v>
      </c>
      <c r="C33" s="2" t="s">
        <v>53</v>
      </c>
      <c r="D33" s="2" t="s">
        <v>17</v>
      </c>
      <c r="E33" s="2">
        <v>33</v>
      </c>
      <c r="F33" s="2">
        <v>33</v>
      </c>
      <c r="G33" s="2">
        <v>0</v>
      </c>
      <c r="H33" s="2" t="s">
        <v>18</v>
      </c>
      <c r="I33" s="2">
        <v>0.63469269999768496</v>
      </c>
      <c r="J33" s="3" t="str">
        <f t="shared" si="0"/>
        <v>inconsistent</v>
      </c>
    </row>
    <row r="34" spans="1:10" x14ac:dyDescent="0.35">
      <c r="A34" s="2" t="s">
        <v>21</v>
      </c>
      <c r="B34" s="2" t="s">
        <v>22</v>
      </c>
      <c r="C34" s="2" t="s">
        <v>59</v>
      </c>
      <c r="D34" s="2" t="s">
        <v>12</v>
      </c>
      <c r="E34" s="2">
        <v>34</v>
      </c>
      <c r="F34" s="2">
        <v>34</v>
      </c>
      <c r="G34" s="2">
        <v>0</v>
      </c>
      <c r="H34" s="2" t="s">
        <v>13</v>
      </c>
      <c r="I34" s="2">
        <v>0.36745320004410997</v>
      </c>
      <c r="J34" s="3" t="str">
        <f t="shared" si="0"/>
        <v>inconsistent</v>
      </c>
    </row>
    <row r="35" spans="1:10" x14ac:dyDescent="0.35">
      <c r="A35" s="2" t="s">
        <v>40</v>
      </c>
      <c r="B35" s="2" t="s">
        <v>22</v>
      </c>
      <c r="C35" s="2" t="s">
        <v>41</v>
      </c>
      <c r="D35" s="2" t="s">
        <v>12</v>
      </c>
      <c r="E35" s="2">
        <v>35</v>
      </c>
      <c r="F35" s="2">
        <v>35</v>
      </c>
      <c r="G35" s="2">
        <v>0</v>
      </c>
      <c r="H35" s="2" t="s">
        <v>13</v>
      </c>
      <c r="I35" s="2">
        <v>0.78560070000821702</v>
      </c>
      <c r="J35" s="3" t="str">
        <f t="shared" si="0"/>
        <v>inconsistent</v>
      </c>
    </row>
    <row r="36" spans="1:10" x14ac:dyDescent="0.35">
      <c r="A36" s="2" t="s">
        <v>40</v>
      </c>
      <c r="B36" s="2" t="s">
        <v>22</v>
      </c>
      <c r="C36" s="2" t="s">
        <v>39</v>
      </c>
      <c r="D36" s="2" t="s">
        <v>17</v>
      </c>
      <c r="E36" s="2">
        <v>36</v>
      </c>
      <c r="F36" s="2">
        <v>36</v>
      </c>
      <c r="G36" s="2">
        <v>0</v>
      </c>
      <c r="H36" s="2" t="s">
        <v>18</v>
      </c>
      <c r="I36" s="2">
        <v>0.437921600008849</v>
      </c>
      <c r="J36" s="3" t="str">
        <f t="shared" si="0"/>
        <v>consistent</v>
      </c>
    </row>
    <row r="37" spans="1:10" hidden="1" x14ac:dyDescent="0.35">
      <c r="A37" s="2" t="s">
        <v>51</v>
      </c>
      <c r="B37" s="2" t="s">
        <v>10</v>
      </c>
      <c r="C37" s="2" t="s">
        <v>56</v>
      </c>
      <c r="D37" s="2" t="s">
        <v>17</v>
      </c>
      <c r="E37" s="2">
        <v>37</v>
      </c>
      <c r="F37" s="2">
        <v>37</v>
      </c>
      <c r="G37" s="2">
        <v>0</v>
      </c>
      <c r="H37" s="2" t="s">
        <v>18</v>
      </c>
      <c r="I37" s="2">
        <v>0.63276700000278596</v>
      </c>
      <c r="J37" s="3" t="str">
        <f t="shared" si="0"/>
        <v>neutral</v>
      </c>
    </row>
    <row r="38" spans="1:10" x14ac:dyDescent="0.35">
      <c r="A38" s="2" t="s">
        <v>48</v>
      </c>
      <c r="B38" s="2" t="s">
        <v>15</v>
      </c>
      <c r="C38" s="2" t="s">
        <v>49</v>
      </c>
      <c r="D38" s="2" t="s">
        <v>12</v>
      </c>
      <c r="E38" s="2">
        <v>38</v>
      </c>
      <c r="F38" s="2">
        <v>38</v>
      </c>
      <c r="G38" s="2">
        <v>0</v>
      </c>
      <c r="H38" s="2" t="s">
        <v>13</v>
      </c>
      <c r="I38" s="2">
        <v>0.53527299995766897</v>
      </c>
      <c r="J38" s="3" t="str">
        <f t="shared" si="0"/>
        <v>consistent</v>
      </c>
    </row>
    <row r="39" spans="1:10" x14ac:dyDescent="0.35">
      <c r="A39" s="2" t="s">
        <v>30</v>
      </c>
      <c r="B39" s="2" t="s">
        <v>22</v>
      </c>
      <c r="C39" s="2" t="s">
        <v>31</v>
      </c>
      <c r="D39" s="2" t="s">
        <v>17</v>
      </c>
      <c r="E39" s="2">
        <v>39</v>
      </c>
      <c r="F39" s="2">
        <v>39</v>
      </c>
      <c r="G39" s="2">
        <v>0</v>
      </c>
      <c r="H39" s="2" t="s">
        <v>18</v>
      </c>
      <c r="I39" s="2">
        <v>0.55027870001504198</v>
      </c>
      <c r="J39" s="3" t="str">
        <f t="shared" si="0"/>
        <v>consistent</v>
      </c>
    </row>
    <row r="40" spans="1:10" x14ac:dyDescent="0.35">
      <c r="A40" s="2" t="s">
        <v>43</v>
      </c>
      <c r="B40" s="2" t="s">
        <v>15</v>
      </c>
      <c r="C40" s="2" t="s">
        <v>44</v>
      </c>
      <c r="D40" s="2" t="s">
        <v>12</v>
      </c>
      <c r="E40" s="2">
        <v>40</v>
      </c>
      <c r="F40" s="2">
        <v>40</v>
      </c>
      <c r="G40" s="2">
        <v>0</v>
      </c>
      <c r="H40" s="2" t="s">
        <v>13</v>
      </c>
      <c r="I40" s="2">
        <v>0.460305700020398</v>
      </c>
      <c r="J40" s="3" t="str">
        <f t="shared" si="0"/>
        <v>consistent</v>
      </c>
    </row>
    <row r="41" spans="1:10" hidden="1" x14ac:dyDescent="0.35">
      <c r="A41" s="2" t="s">
        <v>45</v>
      </c>
      <c r="B41" s="2" t="s">
        <v>10</v>
      </c>
      <c r="C41" s="2" t="s">
        <v>33</v>
      </c>
      <c r="D41" s="2" t="s">
        <v>12</v>
      </c>
      <c r="E41" s="2">
        <v>41</v>
      </c>
      <c r="F41" s="2">
        <v>41</v>
      </c>
      <c r="G41" s="2">
        <v>0</v>
      </c>
      <c r="H41" s="2" t="s">
        <v>13</v>
      </c>
      <c r="I41" s="2">
        <v>0.511245700006838</v>
      </c>
      <c r="J41" s="3" t="str">
        <f t="shared" si="0"/>
        <v>neutral</v>
      </c>
    </row>
    <row r="42" spans="1:10" x14ac:dyDescent="0.35">
      <c r="A42" s="2" t="s">
        <v>47</v>
      </c>
      <c r="B42" s="2" t="s">
        <v>22</v>
      </c>
      <c r="C42" s="2" t="s">
        <v>11</v>
      </c>
      <c r="D42" s="2" t="s">
        <v>12</v>
      </c>
      <c r="E42" s="2">
        <v>42</v>
      </c>
      <c r="F42" s="2">
        <v>42</v>
      </c>
      <c r="G42" s="2">
        <v>0</v>
      </c>
      <c r="H42" s="2" t="s">
        <v>13</v>
      </c>
      <c r="I42" s="2">
        <v>0.77214990003267303</v>
      </c>
      <c r="J42" s="3" t="str">
        <f t="shared" si="0"/>
        <v>inconsistent</v>
      </c>
    </row>
    <row r="43" spans="1:10" hidden="1" x14ac:dyDescent="0.35">
      <c r="A43" s="2" t="s">
        <v>51</v>
      </c>
      <c r="B43" s="2" t="s">
        <v>10</v>
      </c>
      <c r="C43" s="2" t="s">
        <v>49</v>
      </c>
      <c r="D43" s="2" t="s">
        <v>12</v>
      </c>
      <c r="E43" s="2">
        <v>43</v>
      </c>
      <c r="F43" s="2">
        <v>43</v>
      </c>
      <c r="G43" s="2">
        <v>0</v>
      </c>
      <c r="H43" s="2" t="s">
        <v>13</v>
      </c>
      <c r="I43" s="2">
        <v>0.50517890002811305</v>
      </c>
      <c r="J43" s="3" t="str">
        <f t="shared" si="0"/>
        <v>neutral</v>
      </c>
    </row>
    <row r="44" spans="1:10" x14ac:dyDescent="0.35">
      <c r="A44" s="2" t="s">
        <v>26</v>
      </c>
      <c r="B44" s="2" t="s">
        <v>22</v>
      </c>
      <c r="C44" s="2" t="s">
        <v>27</v>
      </c>
      <c r="D44" s="2" t="s">
        <v>17</v>
      </c>
      <c r="E44" s="2">
        <v>44</v>
      </c>
      <c r="F44" s="2">
        <v>44</v>
      </c>
      <c r="G44" s="2">
        <v>0</v>
      </c>
      <c r="H44" s="2" t="s">
        <v>18</v>
      </c>
      <c r="I44" s="2">
        <v>0.56603879999602202</v>
      </c>
      <c r="J44" s="3" t="str">
        <f t="shared" si="0"/>
        <v>consistent</v>
      </c>
    </row>
    <row r="45" spans="1:10" x14ac:dyDescent="0.35">
      <c r="A45" s="2" t="s">
        <v>28</v>
      </c>
      <c r="B45" s="2" t="s">
        <v>15</v>
      </c>
      <c r="C45" s="2" t="s">
        <v>27</v>
      </c>
      <c r="D45" s="2" t="s">
        <v>17</v>
      </c>
      <c r="E45" s="2">
        <v>45</v>
      </c>
      <c r="F45" s="2">
        <v>45</v>
      </c>
      <c r="G45" s="2">
        <v>0</v>
      </c>
      <c r="H45" s="2" t="s">
        <v>18</v>
      </c>
      <c r="I45" s="2">
        <v>0.897779899998568</v>
      </c>
      <c r="J45" s="3" t="str">
        <f t="shared" si="0"/>
        <v>inconsistent</v>
      </c>
    </row>
    <row r="46" spans="1:10" x14ac:dyDescent="0.35">
      <c r="A46" s="2" t="s">
        <v>47</v>
      </c>
      <c r="B46" s="2" t="s">
        <v>22</v>
      </c>
      <c r="C46" s="2" t="s">
        <v>37</v>
      </c>
      <c r="D46" s="2" t="s">
        <v>17</v>
      </c>
      <c r="E46" s="2">
        <v>46</v>
      </c>
      <c r="F46" s="2">
        <v>46</v>
      </c>
      <c r="G46" s="2">
        <v>0</v>
      </c>
      <c r="H46" s="2" t="s">
        <v>18</v>
      </c>
      <c r="I46" s="2">
        <v>0.43309040000894999</v>
      </c>
      <c r="J46" s="3" t="str">
        <f t="shared" si="0"/>
        <v>consistent</v>
      </c>
    </row>
    <row r="47" spans="1:10" x14ac:dyDescent="0.35">
      <c r="A47" s="2" t="s">
        <v>25</v>
      </c>
      <c r="B47" s="2" t="s">
        <v>22</v>
      </c>
      <c r="C47" s="2" t="s">
        <v>16</v>
      </c>
      <c r="D47" s="2" t="s">
        <v>17</v>
      </c>
      <c r="E47" s="2">
        <v>47</v>
      </c>
      <c r="F47" s="2">
        <v>47</v>
      </c>
      <c r="G47" s="2">
        <v>0</v>
      </c>
      <c r="H47" s="2" t="s">
        <v>18</v>
      </c>
      <c r="I47" s="2">
        <v>0.58450639998773102</v>
      </c>
      <c r="J47" s="3" t="str">
        <f t="shared" si="0"/>
        <v>consistent</v>
      </c>
    </row>
    <row r="48" spans="1:10" x14ac:dyDescent="0.35">
      <c r="A48" s="2" t="s">
        <v>25</v>
      </c>
      <c r="B48" s="2" t="s">
        <v>22</v>
      </c>
      <c r="C48" s="2" t="s">
        <v>24</v>
      </c>
      <c r="D48" s="2" t="s">
        <v>12</v>
      </c>
      <c r="E48" s="2">
        <v>48</v>
      </c>
      <c r="F48" s="2">
        <v>48</v>
      </c>
      <c r="G48" s="2">
        <v>0</v>
      </c>
      <c r="H48" s="2" t="s">
        <v>13</v>
      </c>
      <c r="I48" s="2">
        <v>0.38536970003042298</v>
      </c>
      <c r="J48" s="3" t="str">
        <f t="shared" si="0"/>
        <v>inconsistent</v>
      </c>
    </row>
    <row r="49" spans="1:10" x14ac:dyDescent="0.35">
      <c r="A49" s="2" t="s">
        <v>50</v>
      </c>
      <c r="B49" s="2" t="s">
        <v>15</v>
      </c>
      <c r="C49" s="2" t="s">
        <v>20</v>
      </c>
      <c r="D49" s="2" t="s">
        <v>17</v>
      </c>
      <c r="E49" s="2">
        <v>49</v>
      </c>
      <c r="F49" s="2">
        <v>49</v>
      </c>
      <c r="G49" s="2">
        <v>0</v>
      </c>
      <c r="H49" s="2" t="s">
        <v>18</v>
      </c>
      <c r="I49" s="2">
        <v>0.72888050001347404</v>
      </c>
      <c r="J49" s="3" t="str">
        <f t="shared" si="0"/>
        <v>inconsistent</v>
      </c>
    </row>
    <row r="50" spans="1:10" x14ac:dyDescent="0.35">
      <c r="A50" s="2" t="s">
        <v>14</v>
      </c>
      <c r="B50" s="2" t="s">
        <v>15</v>
      </c>
      <c r="C50" s="2" t="s">
        <v>24</v>
      </c>
      <c r="D50" s="2" t="s">
        <v>12</v>
      </c>
      <c r="E50" s="2">
        <v>50</v>
      </c>
      <c r="F50" s="2">
        <v>50</v>
      </c>
      <c r="G50" s="2">
        <v>0</v>
      </c>
      <c r="H50" s="2" t="s">
        <v>13</v>
      </c>
      <c r="I50" s="2">
        <v>0.56348620000062499</v>
      </c>
      <c r="J50" s="3" t="str">
        <f t="shared" si="0"/>
        <v>consistent</v>
      </c>
    </row>
    <row r="51" spans="1:10" x14ac:dyDescent="0.35">
      <c r="A51" s="2" t="s">
        <v>35</v>
      </c>
      <c r="B51" s="2" t="s">
        <v>22</v>
      </c>
      <c r="C51" s="2" t="s">
        <v>42</v>
      </c>
      <c r="D51" s="2" t="s">
        <v>12</v>
      </c>
      <c r="E51" s="2">
        <v>51</v>
      </c>
      <c r="F51" s="2">
        <v>51</v>
      </c>
      <c r="G51" s="2">
        <v>0</v>
      </c>
      <c r="H51" s="2" t="s">
        <v>13</v>
      </c>
      <c r="I51" s="2">
        <v>1.01445320004131</v>
      </c>
      <c r="J51" s="3" t="str">
        <f t="shared" si="0"/>
        <v>inconsistent</v>
      </c>
    </row>
    <row r="52" spans="1:10" hidden="1" x14ac:dyDescent="0.35">
      <c r="A52" s="2" t="s">
        <v>58</v>
      </c>
      <c r="B52" s="2" t="s">
        <v>10</v>
      </c>
      <c r="C52" s="2" t="s">
        <v>42</v>
      </c>
      <c r="D52" s="2" t="s">
        <v>12</v>
      </c>
      <c r="E52" s="2">
        <v>52</v>
      </c>
      <c r="F52" s="2">
        <v>52</v>
      </c>
      <c r="G52" s="2">
        <v>0</v>
      </c>
      <c r="H52" s="2" t="s">
        <v>13</v>
      </c>
      <c r="I52" s="2">
        <v>0.52746499999193397</v>
      </c>
      <c r="J52" s="3" t="str">
        <f t="shared" si="0"/>
        <v>neutral</v>
      </c>
    </row>
    <row r="53" spans="1:10" hidden="1" x14ac:dyDescent="0.35">
      <c r="A53" s="2" t="s">
        <v>23</v>
      </c>
      <c r="B53" s="2" t="s">
        <v>10</v>
      </c>
      <c r="C53" s="2" t="s">
        <v>16</v>
      </c>
      <c r="D53" s="2" t="s">
        <v>17</v>
      </c>
      <c r="E53" s="2">
        <v>53</v>
      </c>
      <c r="F53" s="2">
        <v>53</v>
      </c>
      <c r="G53" s="2">
        <v>0</v>
      </c>
      <c r="H53" s="2" t="s">
        <v>18</v>
      </c>
      <c r="I53" s="2">
        <v>0.46154869999736498</v>
      </c>
      <c r="J53" s="3" t="str">
        <f t="shared" si="0"/>
        <v>neutral</v>
      </c>
    </row>
    <row r="54" spans="1:10" hidden="1" x14ac:dyDescent="0.35">
      <c r="A54" s="2" t="s">
        <v>45</v>
      </c>
      <c r="B54" s="2" t="s">
        <v>10</v>
      </c>
      <c r="C54" s="2" t="s">
        <v>33</v>
      </c>
      <c r="D54" s="2" t="s">
        <v>12</v>
      </c>
      <c r="E54" s="2">
        <v>54</v>
      </c>
      <c r="F54" s="2">
        <v>0</v>
      </c>
      <c r="G54" s="2">
        <v>1</v>
      </c>
      <c r="H54" s="2" t="s">
        <v>13</v>
      </c>
      <c r="I54" s="2">
        <v>0.53587999998126101</v>
      </c>
      <c r="J54" s="3" t="str">
        <f t="shared" si="0"/>
        <v>neutral</v>
      </c>
    </row>
    <row r="55" spans="1:10" hidden="1" x14ac:dyDescent="0.35">
      <c r="A55" s="2" t="s">
        <v>9</v>
      </c>
      <c r="B55" s="2" t="s">
        <v>10</v>
      </c>
      <c r="C55" s="2" t="s">
        <v>37</v>
      </c>
      <c r="D55" s="2" t="s">
        <v>17</v>
      </c>
      <c r="E55" s="2">
        <v>55</v>
      </c>
      <c r="F55" s="2">
        <v>1</v>
      </c>
      <c r="G55" s="2">
        <v>1</v>
      </c>
      <c r="H55" s="2" t="s">
        <v>18</v>
      </c>
      <c r="I55" s="2">
        <v>0.59075719997053899</v>
      </c>
      <c r="J55" s="3" t="str">
        <f t="shared" si="0"/>
        <v>neutral</v>
      </c>
    </row>
    <row r="56" spans="1:10" x14ac:dyDescent="0.35">
      <c r="A56" s="2" t="s">
        <v>28</v>
      </c>
      <c r="B56" s="2" t="s">
        <v>15</v>
      </c>
      <c r="C56" s="2" t="s">
        <v>29</v>
      </c>
      <c r="D56" s="2" t="s">
        <v>12</v>
      </c>
      <c r="E56" s="2">
        <v>56</v>
      </c>
      <c r="F56" s="2">
        <v>2</v>
      </c>
      <c r="G56" s="2">
        <v>1</v>
      </c>
      <c r="H56" s="2" t="s">
        <v>13</v>
      </c>
      <c r="I56" s="2">
        <v>0.73148000001674496</v>
      </c>
      <c r="J56" s="3" t="str">
        <f t="shared" si="0"/>
        <v>consistent</v>
      </c>
    </row>
    <row r="57" spans="1:10" x14ac:dyDescent="0.35">
      <c r="A57" s="2" t="s">
        <v>26</v>
      </c>
      <c r="B57" s="2" t="s">
        <v>22</v>
      </c>
      <c r="C57" s="2" t="s">
        <v>27</v>
      </c>
      <c r="D57" s="2" t="s">
        <v>17</v>
      </c>
      <c r="E57" s="2">
        <v>57</v>
      </c>
      <c r="F57" s="2">
        <v>3</v>
      </c>
      <c r="G57" s="2">
        <v>1</v>
      </c>
      <c r="H57" s="2" t="s">
        <v>18</v>
      </c>
      <c r="I57" s="2">
        <v>0.69957070000236798</v>
      </c>
      <c r="J57" s="3" t="str">
        <f t="shared" si="0"/>
        <v>consistent</v>
      </c>
    </row>
    <row r="58" spans="1:10" x14ac:dyDescent="0.35">
      <c r="A58" s="2" t="s">
        <v>14</v>
      </c>
      <c r="B58" s="2" t="s">
        <v>15</v>
      </c>
      <c r="C58" s="2" t="s">
        <v>24</v>
      </c>
      <c r="D58" s="2" t="s">
        <v>12</v>
      </c>
      <c r="E58" s="2">
        <v>58</v>
      </c>
      <c r="F58" s="2">
        <v>4</v>
      </c>
      <c r="G58" s="2">
        <v>1</v>
      </c>
      <c r="H58" s="2" t="s">
        <v>13</v>
      </c>
      <c r="I58" s="2">
        <v>0.84235330001683895</v>
      </c>
      <c r="J58" s="3" t="str">
        <f t="shared" si="0"/>
        <v>consistent</v>
      </c>
    </row>
    <row r="59" spans="1:10" hidden="1" x14ac:dyDescent="0.35">
      <c r="A59" s="2" t="s">
        <v>51</v>
      </c>
      <c r="B59" s="2" t="s">
        <v>10</v>
      </c>
      <c r="C59" s="2" t="s">
        <v>49</v>
      </c>
      <c r="D59" s="2" t="s">
        <v>12</v>
      </c>
      <c r="E59" s="2">
        <v>59</v>
      </c>
      <c r="F59" s="2">
        <v>5</v>
      </c>
      <c r="G59" s="2">
        <v>1</v>
      </c>
      <c r="H59" s="2" t="s">
        <v>13</v>
      </c>
      <c r="I59" s="2">
        <v>0.83450140000786599</v>
      </c>
      <c r="J59" s="3" t="str">
        <f t="shared" si="0"/>
        <v>neutral</v>
      </c>
    </row>
    <row r="60" spans="1:10" x14ac:dyDescent="0.35">
      <c r="A60" s="2" t="s">
        <v>34</v>
      </c>
      <c r="B60" s="2" t="s">
        <v>15</v>
      </c>
      <c r="C60" s="2" t="s">
        <v>11</v>
      </c>
      <c r="D60" s="2" t="s">
        <v>12</v>
      </c>
      <c r="E60" s="2">
        <v>60</v>
      </c>
      <c r="F60" s="2">
        <v>6</v>
      </c>
      <c r="G60" s="2">
        <v>1</v>
      </c>
      <c r="H60" s="2" t="s">
        <v>13</v>
      </c>
      <c r="I60" s="2">
        <v>0.55840680003166199</v>
      </c>
      <c r="J60" s="3" t="str">
        <f t="shared" si="0"/>
        <v>consistent</v>
      </c>
    </row>
    <row r="61" spans="1:10" x14ac:dyDescent="0.35">
      <c r="A61" s="2" t="s">
        <v>28</v>
      </c>
      <c r="B61" s="2" t="s">
        <v>15</v>
      </c>
      <c r="C61" s="2" t="s">
        <v>27</v>
      </c>
      <c r="D61" s="2" t="s">
        <v>17</v>
      </c>
      <c r="E61" s="2">
        <v>61</v>
      </c>
      <c r="F61" s="2">
        <v>7</v>
      </c>
      <c r="G61" s="2">
        <v>1</v>
      </c>
      <c r="H61" s="2" t="s">
        <v>18</v>
      </c>
      <c r="I61" s="2">
        <v>0.92704969999613196</v>
      </c>
      <c r="J61" s="3" t="str">
        <f t="shared" si="0"/>
        <v>inconsistent</v>
      </c>
    </row>
    <row r="62" spans="1:10" x14ac:dyDescent="0.35">
      <c r="A62" s="2" t="s">
        <v>25</v>
      </c>
      <c r="B62" s="2" t="s">
        <v>22</v>
      </c>
      <c r="C62" s="2" t="s">
        <v>24</v>
      </c>
      <c r="D62" s="2" t="s">
        <v>12</v>
      </c>
      <c r="E62" s="2">
        <v>62</v>
      </c>
      <c r="F62" s="2">
        <v>8</v>
      </c>
      <c r="G62" s="2">
        <v>1</v>
      </c>
      <c r="H62" s="2" t="s">
        <v>13</v>
      </c>
      <c r="I62" s="2">
        <v>0.65301189996534903</v>
      </c>
      <c r="J62" s="3" t="str">
        <f t="shared" si="0"/>
        <v>inconsistent</v>
      </c>
    </row>
    <row r="63" spans="1:10" x14ac:dyDescent="0.35">
      <c r="A63" s="2" t="s">
        <v>35</v>
      </c>
      <c r="B63" s="2" t="s">
        <v>22</v>
      </c>
      <c r="C63" s="2" t="s">
        <v>42</v>
      </c>
      <c r="D63" s="2" t="s">
        <v>12</v>
      </c>
      <c r="E63" s="2">
        <v>63</v>
      </c>
      <c r="F63" s="2">
        <v>9</v>
      </c>
      <c r="G63" s="2">
        <v>1</v>
      </c>
      <c r="H63" s="2" t="s">
        <v>13</v>
      </c>
      <c r="I63" s="2">
        <v>0.93948000000091203</v>
      </c>
      <c r="J63" s="3" t="str">
        <f t="shared" si="0"/>
        <v>inconsistent</v>
      </c>
    </row>
    <row r="64" spans="1:10" x14ac:dyDescent="0.35">
      <c r="A64" s="2" t="s">
        <v>21</v>
      </c>
      <c r="B64" s="2" t="s">
        <v>22</v>
      </c>
      <c r="C64" s="2" t="s">
        <v>59</v>
      </c>
      <c r="D64" s="2" t="s">
        <v>12</v>
      </c>
      <c r="E64" s="2">
        <v>64</v>
      </c>
      <c r="F64" s="2">
        <v>10</v>
      </c>
      <c r="G64" s="2">
        <v>1</v>
      </c>
      <c r="H64" s="2" t="s">
        <v>13</v>
      </c>
      <c r="I64" s="2">
        <v>0.75228070002049197</v>
      </c>
      <c r="J64" s="3" t="str">
        <f t="shared" si="0"/>
        <v>inconsistent</v>
      </c>
    </row>
    <row r="65" spans="1:10" x14ac:dyDescent="0.35">
      <c r="A65" s="2" t="s">
        <v>50</v>
      </c>
      <c r="B65" s="2" t="s">
        <v>15</v>
      </c>
      <c r="C65" s="2" t="s">
        <v>59</v>
      </c>
      <c r="D65" s="2" t="s">
        <v>12</v>
      </c>
      <c r="E65" s="2">
        <v>65</v>
      </c>
      <c r="F65" s="2">
        <v>11</v>
      </c>
      <c r="G65" s="2">
        <v>1</v>
      </c>
      <c r="H65" s="2" t="s">
        <v>13</v>
      </c>
      <c r="I65" s="2">
        <v>0.62800869997590703</v>
      </c>
      <c r="J65" s="3" t="str">
        <f t="shared" si="0"/>
        <v>consistent</v>
      </c>
    </row>
    <row r="66" spans="1:10" hidden="1" x14ac:dyDescent="0.35">
      <c r="A66" s="2" t="s">
        <v>58</v>
      </c>
      <c r="B66" s="2" t="s">
        <v>10</v>
      </c>
      <c r="C66" s="2" t="s">
        <v>36</v>
      </c>
      <c r="D66" s="2" t="s">
        <v>17</v>
      </c>
      <c r="E66" s="2">
        <v>66</v>
      </c>
      <c r="F66" s="2">
        <v>12</v>
      </c>
      <c r="G66" s="2">
        <v>1</v>
      </c>
      <c r="H66" s="2" t="s">
        <v>18</v>
      </c>
      <c r="I66" s="2">
        <v>0.92901950003579203</v>
      </c>
      <c r="J66" s="3" t="str">
        <f t="shared" si="0"/>
        <v>neutral</v>
      </c>
    </row>
    <row r="67" spans="1:10" x14ac:dyDescent="0.35">
      <c r="A67" s="2" t="s">
        <v>21</v>
      </c>
      <c r="B67" s="2" t="s">
        <v>22</v>
      </c>
      <c r="C67" s="2" t="s">
        <v>20</v>
      </c>
      <c r="D67" s="2" t="s">
        <v>17</v>
      </c>
      <c r="E67" s="2">
        <v>67</v>
      </c>
      <c r="F67" s="2">
        <v>13</v>
      </c>
      <c r="G67" s="2">
        <v>1</v>
      </c>
      <c r="H67" s="2" t="s">
        <v>18</v>
      </c>
      <c r="I67" s="2">
        <v>0.45111849997192599</v>
      </c>
      <c r="J67" s="3" t="str">
        <f t="shared" si="0"/>
        <v>consistent</v>
      </c>
    </row>
    <row r="68" spans="1:10" x14ac:dyDescent="0.35">
      <c r="A68" s="2" t="s">
        <v>30</v>
      </c>
      <c r="B68" s="2" t="s">
        <v>22</v>
      </c>
      <c r="C68" s="2" t="s">
        <v>33</v>
      </c>
      <c r="D68" s="2" t="s">
        <v>12</v>
      </c>
      <c r="E68" s="2">
        <v>68</v>
      </c>
      <c r="F68" s="2">
        <v>14</v>
      </c>
      <c r="G68" s="2">
        <v>1</v>
      </c>
      <c r="H68" s="2" t="s">
        <v>13</v>
      </c>
      <c r="I68" s="2">
        <v>0.72617879998870105</v>
      </c>
      <c r="J68" s="3" t="str">
        <f t="shared" ref="J68:J107" si="1">IF(OR(AND(B68="masculine",D68="male"), AND(B68="feminine",D68="female")), "consistent",
IF(OR(AND(B68="masculine",D68="female"), AND(B68="feminine",D68="male")), "inconsistent","neutral"))</f>
        <v>inconsistent</v>
      </c>
    </row>
    <row r="69" spans="1:10" x14ac:dyDescent="0.35">
      <c r="A69" s="2" t="s">
        <v>43</v>
      </c>
      <c r="B69" s="2" t="s">
        <v>15</v>
      </c>
      <c r="C69" s="2" t="s">
        <v>44</v>
      </c>
      <c r="D69" s="2" t="s">
        <v>12</v>
      </c>
      <c r="E69" s="2">
        <v>69</v>
      </c>
      <c r="F69" s="2">
        <v>15</v>
      </c>
      <c r="G69" s="2">
        <v>1</v>
      </c>
      <c r="H69" s="2" t="s">
        <v>13</v>
      </c>
      <c r="I69" s="2">
        <v>0.62479470000835102</v>
      </c>
      <c r="J69" s="3" t="str">
        <f t="shared" si="1"/>
        <v>consistent</v>
      </c>
    </row>
    <row r="70" spans="1:10" x14ac:dyDescent="0.35">
      <c r="A70" s="2" t="s">
        <v>47</v>
      </c>
      <c r="B70" s="2" t="s">
        <v>22</v>
      </c>
      <c r="C70" s="2" t="s">
        <v>37</v>
      </c>
      <c r="D70" s="2" t="s">
        <v>17</v>
      </c>
      <c r="E70" s="2">
        <v>70</v>
      </c>
      <c r="F70" s="2">
        <v>16</v>
      </c>
      <c r="G70" s="2">
        <v>1</v>
      </c>
      <c r="H70" s="2" t="s">
        <v>18</v>
      </c>
      <c r="I70" s="2">
        <v>0.71256409998750303</v>
      </c>
      <c r="J70" s="3" t="str">
        <f t="shared" si="1"/>
        <v>consistent</v>
      </c>
    </row>
    <row r="71" spans="1:10" x14ac:dyDescent="0.35">
      <c r="A71" s="2" t="s">
        <v>25</v>
      </c>
      <c r="B71" s="2" t="s">
        <v>22</v>
      </c>
      <c r="C71" s="2" t="s">
        <v>16</v>
      </c>
      <c r="D71" s="2" t="s">
        <v>17</v>
      </c>
      <c r="E71" s="2">
        <v>71</v>
      </c>
      <c r="F71" s="2">
        <v>17</v>
      </c>
      <c r="G71" s="2">
        <v>1</v>
      </c>
      <c r="H71" s="2" t="s">
        <v>18</v>
      </c>
      <c r="I71" s="2">
        <v>0.74971960001857896</v>
      </c>
      <c r="J71" s="3" t="str">
        <f t="shared" si="1"/>
        <v>consistent</v>
      </c>
    </row>
    <row r="72" spans="1:10" x14ac:dyDescent="0.35">
      <c r="A72" s="2" t="s">
        <v>14</v>
      </c>
      <c r="B72" s="2" t="s">
        <v>15</v>
      </c>
      <c r="C72" s="2" t="s">
        <v>16</v>
      </c>
      <c r="D72" s="2" t="s">
        <v>17</v>
      </c>
      <c r="E72" s="2">
        <v>72</v>
      </c>
      <c r="F72" s="2">
        <v>18</v>
      </c>
      <c r="G72" s="2">
        <v>1</v>
      </c>
      <c r="H72" s="2" t="s">
        <v>18</v>
      </c>
      <c r="I72" s="2">
        <v>0.88557020004372999</v>
      </c>
      <c r="J72" s="3" t="str">
        <f t="shared" si="1"/>
        <v>inconsistent</v>
      </c>
    </row>
    <row r="73" spans="1:10" x14ac:dyDescent="0.35">
      <c r="A73" s="2" t="s">
        <v>47</v>
      </c>
      <c r="B73" s="2" t="s">
        <v>22</v>
      </c>
      <c r="C73" s="2" t="s">
        <v>11</v>
      </c>
      <c r="D73" s="2" t="s">
        <v>12</v>
      </c>
      <c r="E73" s="2">
        <v>73</v>
      </c>
      <c r="F73" s="2">
        <v>19</v>
      </c>
      <c r="G73" s="2">
        <v>1</v>
      </c>
      <c r="H73" s="2" t="s">
        <v>13</v>
      </c>
      <c r="I73" s="2">
        <v>1.2652882999973301</v>
      </c>
      <c r="J73" s="3" t="str">
        <f t="shared" si="1"/>
        <v>inconsistent</v>
      </c>
    </row>
    <row r="74" spans="1:10" hidden="1" x14ac:dyDescent="0.35">
      <c r="A74" s="2" t="s">
        <v>54</v>
      </c>
      <c r="B74" s="2" t="s">
        <v>10</v>
      </c>
      <c r="C74" s="2" t="s">
        <v>60</v>
      </c>
      <c r="D74" s="2" t="s">
        <v>17</v>
      </c>
      <c r="E74" s="2">
        <v>74</v>
      </c>
      <c r="F74" s="2">
        <v>20</v>
      </c>
      <c r="G74" s="2">
        <v>1</v>
      </c>
      <c r="H74" s="2" t="s">
        <v>18</v>
      </c>
      <c r="I74" s="2">
        <v>0.76251119998050798</v>
      </c>
      <c r="J74" s="3" t="str">
        <f t="shared" si="1"/>
        <v>neutral</v>
      </c>
    </row>
    <row r="75" spans="1:10" x14ac:dyDescent="0.35">
      <c r="A75" s="2" t="s">
        <v>46</v>
      </c>
      <c r="B75" s="2" t="s">
        <v>15</v>
      </c>
      <c r="C75" s="2" t="s">
        <v>41</v>
      </c>
      <c r="D75" s="2" t="s">
        <v>12</v>
      </c>
      <c r="E75" s="2">
        <v>75</v>
      </c>
      <c r="F75" s="2">
        <v>21</v>
      </c>
      <c r="G75" s="2">
        <v>1</v>
      </c>
      <c r="H75" s="2" t="s">
        <v>13</v>
      </c>
      <c r="I75" s="2">
        <v>0.49537830002373001</v>
      </c>
      <c r="J75" s="3" t="str">
        <f t="shared" si="1"/>
        <v>consistent</v>
      </c>
    </row>
    <row r="76" spans="1:10" x14ac:dyDescent="0.35">
      <c r="A76" s="2" t="s">
        <v>52</v>
      </c>
      <c r="B76" s="2" t="s">
        <v>15</v>
      </c>
      <c r="C76" s="2" t="s">
        <v>53</v>
      </c>
      <c r="D76" s="2" t="s">
        <v>17</v>
      </c>
      <c r="E76" s="2">
        <v>76</v>
      </c>
      <c r="F76" s="2">
        <v>22</v>
      </c>
      <c r="G76" s="2">
        <v>1</v>
      </c>
      <c r="H76" s="2" t="s">
        <v>18</v>
      </c>
      <c r="I76" s="2">
        <v>0.52676819998305202</v>
      </c>
      <c r="J76" s="3" t="str">
        <f t="shared" si="1"/>
        <v>inconsistent</v>
      </c>
    </row>
    <row r="77" spans="1:10" hidden="1" x14ac:dyDescent="0.35">
      <c r="A77" s="2" t="s">
        <v>19</v>
      </c>
      <c r="B77" s="2" t="s">
        <v>10</v>
      </c>
      <c r="C77" s="2" t="s">
        <v>20</v>
      </c>
      <c r="D77" s="2" t="s">
        <v>17</v>
      </c>
      <c r="E77" s="2">
        <v>77</v>
      </c>
      <c r="F77" s="2">
        <v>23</v>
      </c>
      <c r="G77" s="2">
        <v>1</v>
      </c>
      <c r="H77" s="2" t="s">
        <v>18</v>
      </c>
      <c r="I77" s="2">
        <v>0.83127399999648299</v>
      </c>
      <c r="J77" s="3" t="str">
        <f t="shared" si="1"/>
        <v>neutral</v>
      </c>
    </row>
    <row r="78" spans="1:10" hidden="1" x14ac:dyDescent="0.35">
      <c r="A78" s="2" t="s">
        <v>9</v>
      </c>
      <c r="B78" s="2" t="s">
        <v>10</v>
      </c>
      <c r="C78" s="2" t="s">
        <v>11</v>
      </c>
      <c r="D78" s="2" t="s">
        <v>12</v>
      </c>
      <c r="E78" s="2">
        <v>78</v>
      </c>
      <c r="F78" s="2">
        <v>24</v>
      </c>
      <c r="G78" s="2">
        <v>1</v>
      </c>
      <c r="H78" s="2" t="s">
        <v>13</v>
      </c>
      <c r="I78" s="2">
        <v>0.78316059999633503</v>
      </c>
      <c r="J78" s="3" t="str">
        <f t="shared" si="1"/>
        <v>neutral</v>
      </c>
    </row>
    <row r="79" spans="1:10" x14ac:dyDescent="0.35">
      <c r="A79" s="2" t="s">
        <v>26</v>
      </c>
      <c r="B79" s="2" t="s">
        <v>22</v>
      </c>
      <c r="C79" s="2" t="s">
        <v>29</v>
      </c>
      <c r="D79" s="2" t="s">
        <v>12</v>
      </c>
      <c r="E79" s="2">
        <v>79</v>
      </c>
      <c r="F79" s="2">
        <v>25</v>
      </c>
      <c r="G79" s="2">
        <v>1</v>
      </c>
      <c r="H79" s="2" t="s">
        <v>13</v>
      </c>
      <c r="I79" s="2">
        <v>0.98670660000061605</v>
      </c>
      <c r="J79" s="3" t="str">
        <f t="shared" si="1"/>
        <v>inconsistent</v>
      </c>
    </row>
    <row r="80" spans="1:10" x14ac:dyDescent="0.35">
      <c r="A80" s="2" t="s">
        <v>62</v>
      </c>
      <c r="B80" s="2" t="s">
        <v>15</v>
      </c>
      <c r="C80" s="2" t="s">
        <v>36</v>
      </c>
      <c r="D80" s="2" t="s">
        <v>17</v>
      </c>
      <c r="E80" s="2">
        <v>80</v>
      </c>
      <c r="F80" s="2">
        <v>26</v>
      </c>
      <c r="G80" s="2">
        <v>1</v>
      </c>
      <c r="H80" s="2" t="s">
        <v>18</v>
      </c>
      <c r="I80" s="2">
        <v>1.57096779998391</v>
      </c>
      <c r="J80" s="3" t="str">
        <f t="shared" si="1"/>
        <v>inconsistent</v>
      </c>
    </row>
    <row r="81" spans="1:10" x14ac:dyDescent="0.35">
      <c r="A81" s="2" t="s">
        <v>32</v>
      </c>
      <c r="B81" s="2" t="s">
        <v>15</v>
      </c>
      <c r="C81" s="2" t="s">
        <v>31</v>
      </c>
      <c r="D81" s="2" t="s">
        <v>17</v>
      </c>
      <c r="E81" s="2">
        <v>81</v>
      </c>
      <c r="F81" s="2">
        <v>27</v>
      </c>
      <c r="G81" s="2">
        <v>1</v>
      </c>
      <c r="H81" s="2" t="s">
        <v>18</v>
      </c>
      <c r="I81" s="2">
        <v>0.93829970003571295</v>
      </c>
      <c r="J81" s="3" t="str">
        <f t="shared" si="1"/>
        <v>inconsistent</v>
      </c>
    </row>
    <row r="82" spans="1:10" x14ac:dyDescent="0.35">
      <c r="A82" s="2" t="s">
        <v>61</v>
      </c>
      <c r="B82" s="2" t="s">
        <v>22</v>
      </c>
      <c r="C82" s="2" t="s">
        <v>60</v>
      </c>
      <c r="D82" s="2" t="s">
        <v>17</v>
      </c>
      <c r="E82" s="2">
        <v>82</v>
      </c>
      <c r="F82" s="2">
        <v>28</v>
      </c>
      <c r="G82" s="2">
        <v>1</v>
      </c>
      <c r="H82" s="2" t="s">
        <v>18</v>
      </c>
      <c r="I82" s="2">
        <v>0.44454019999830002</v>
      </c>
      <c r="J82" s="3" t="str">
        <f t="shared" si="1"/>
        <v>consistent</v>
      </c>
    </row>
    <row r="83" spans="1:10" x14ac:dyDescent="0.35">
      <c r="A83" s="2" t="s">
        <v>46</v>
      </c>
      <c r="B83" s="2" t="s">
        <v>15</v>
      </c>
      <c r="C83" s="2" t="s">
        <v>39</v>
      </c>
      <c r="D83" s="2" t="s">
        <v>17</v>
      </c>
      <c r="E83" s="2">
        <v>83</v>
      </c>
      <c r="F83" s="2">
        <v>29</v>
      </c>
      <c r="G83" s="2">
        <v>1</v>
      </c>
      <c r="H83" s="2" t="s">
        <v>18</v>
      </c>
      <c r="I83" s="2">
        <v>0.48336129996459898</v>
      </c>
      <c r="J83" s="3" t="str">
        <f t="shared" si="1"/>
        <v>inconsistent</v>
      </c>
    </row>
    <row r="84" spans="1:10" x14ac:dyDescent="0.35">
      <c r="A84" s="2" t="s">
        <v>30</v>
      </c>
      <c r="B84" s="2" t="s">
        <v>22</v>
      </c>
      <c r="C84" s="2" t="s">
        <v>31</v>
      </c>
      <c r="D84" s="2" t="s">
        <v>17</v>
      </c>
      <c r="E84" s="2">
        <v>84</v>
      </c>
      <c r="F84" s="2">
        <v>30</v>
      </c>
      <c r="G84" s="2">
        <v>1</v>
      </c>
      <c r="H84" s="2" t="s">
        <v>18</v>
      </c>
      <c r="I84" s="2">
        <v>0.97118100000079699</v>
      </c>
      <c r="J84" s="3" t="str">
        <f t="shared" si="1"/>
        <v>consistent</v>
      </c>
    </row>
    <row r="85" spans="1:10" hidden="1" x14ac:dyDescent="0.35">
      <c r="A85" s="2" t="s">
        <v>54</v>
      </c>
      <c r="B85" s="2" t="s">
        <v>10</v>
      </c>
      <c r="C85" s="2" t="s">
        <v>44</v>
      </c>
      <c r="D85" s="2" t="s">
        <v>12</v>
      </c>
      <c r="E85" s="2">
        <v>85</v>
      </c>
      <c r="F85" s="2">
        <v>31</v>
      </c>
      <c r="G85" s="2">
        <v>1</v>
      </c>
      <c r="H85" s="2" t="s">
        <v>13</v>
      </c>
      <c r="I85" s="2">
        <v>0.52892059995792795</v>
      </c>
      <c r="J85" s="3" t="str">
        <f t="shared" si="1"/>
        <v>neutral</v>
      </c>
    </row>
    <row r="86" spans="1:10" x14ac:dyDescent="0.35">
      <c r="A86" s="2" t="s">
        <v>61</v>
      </c>
      <c r="B86" s="2" t="s">
        <v>22</v>
      </c>
      <c r="C86" s="2" t="s">
        <v>44</v>
      </c>
      <c r="D86" s="2" t="s">
        <v>12</v>
      </c>
      <c r="E86" s="2">
        <v>86</v>
      </c>
      <c r="F86" s="2">
        <v>32</v>
      </c>
      <c r="G86" s="2">
        <v>1</v>
      </c>
      <c r="H86" s="2" t="s">
        <v>13</v>
      </c>
      <c r="I86" s="2">
        <v>0.46305240003857701</v>
      </c>
      <c r="J86" s="3" t="str">
        <f t="shared" si="1"/>
        <v>inconsistent</v>
      </c>
    </row>
    <row r="87" spans="1:10" hidden="1" x14ac:dyDescent="0.35">
      <c r="A87" s="2" t="s">
        <v>58</v>
      </c>
      <c r="B87" s="2" t="s">
        <v>10</v>
      </c>
      <c r="C87" s="2" t="s">
        <v>42</v>
      </c>
      <c r="D87" s="2" t="s">
        <v>12</v>
      </c>
      <c r="E87" s="2">
        <v>87</v>
      </c>
      <c r="F87" s="2">
        <v>33</v>
      </c>
      <c r="G87" s="2">
        <v>1</v>
      </c>
      <c r="H87" s="2" t="s">
        <v>13</v>
      </c>
      <c r="I87" s="2">
        <v>0.86197959998389695</v>
      </c>
      <c r="J87" s="3" t="str">
        <f t="shared" si="1"/>
        <v>neutral</v>
      </c>
    </row>
    <row r="88" spans="1:10" hidden="1" x14ac:dyDescent="0.35">
      <c r="A88" s="2" t="s">
        <v>38</v>
      </c>
      <c r="B88" s="2" t="s">
        <v>10</v>
      </c>
      <c r="C88" s="2" t="s">
        <v>39</v>
      </c>
      <c r="D88" s="2" t="s">
        <v>17</v>
      </c>
      <c r="E88" s="2">
        <v>88</v>
      </c>
      <c r="F88" s="2">
        <v>34</v>
      </c>
      <c r="G88" s="2">
        <v>1</v>
      </c>
      <c r="H88" s="2" t="s">
        <v>18</v>
      </c>
      <c r="I88" s="2">
        <v>0.51221819996135298</v>
      </c>
      <c r="J88" s="3" t="str">
        <f t="shared" si="1"/>
        <v>neutral</v>
      </c>
    </row>
    <row r="89" spans="1:10" hidden="1" x14ac:dyDescent="0.35">
      <c r="A89" s="2" t="s">
        <v>23</v>
      </c>
      <c r="B89" s="2" t="s">
        <v>10</v>
      </c>
      <c r="C89" s="2" t="s">
        <v>16</v>
      </c>
      <c r="D89" s="2" t="s">
        <v>17</v>
      </c>
      <c r="E89" s="2">
        <v>89</v>
      </c>
      <c r="F89" s="2">
        <v>35</v>
      </c>
      <c r="G89" s="2">
        <v>1</v>
      </c>
      <c r="H89" s="2" t="s">
        <v>18</v>
      </c>
      <c r="I89" s="2">
        <v>0.99833560001570698</v>
      </c>
      <c r="J89" s="3" t="str">
        <f t="shared" si="1"/>
        <v>neutral</v>
      </c>
    </row>
    <row r="90" spans="1:10" x14ac:dyDescent="0.35">
      <c r="A90" s="2" t="s">
        <v>57</v>
      </c>
      <c r="B90" s="2" t="s">
        <v>22</v>
      </c>
      <c r="C90" s="2" t="s">
        <v>55</v>
      </c>
      <c r="D90" s="2" t="s">
        <v>12</v>
      </c>
      <c r="E90" s="2">
        <v>90</v>
      </c>
      <c r="F90" s="2">
        <v>36</v>
      </c>
      <c r="G90" s="2">
        <v>1</v>
      </c>
      <c r="H90" s="2" t="s">
        <v>13</v>
      </c>
      <c r="I90" s="2">
        <v>0.801862499967683</v>
      </c>
      <c r="J90" s="3" t="str">
        <f t="shared" si="1"/>
        <v>inconsistent</v>
      </c>
    </row>
    <row r="91" spans="1:10" x14ac:dyDescent="0.35">
      <c r="A91" s="2" t="s">
        <v>40</v>
      </c>
      <c r="B91" s="2" t="s">
        <v>22</v>
      </c>
      <c r="C91" s="2" t="s">
        <v>41</v>
      </c>
      <c r="D91" s="2" t="s">
        <v>12</v>
      </c>
      <c r="E91" s="2">
        <v>91</v>
      </c>
      <c r="F91" s="2">
        <v>37</v>
      </c>
      <c r="G91" s="2">
        <v>1</v>
      </c>
      <c r="H91" s="2" t="s">
        <v>13</v>
      </c>
      <c r="I91" s="2">
        <v>0.87342249997891397</v>
      </c>
      <c r="J91" s="3" t="str">
        <f t="shared" si="1"/>
        <v>inconsistent</v>
      </c>
    </row>
    <row r="92" spans="1:10" x14ac:dyDescent="0.35">
      <c r="A92" s="2" t="s">
        <v>32</v>
      </c>
      <c r="B92" s="2" t="s">
        <v>15</v>
      </c>
      <c r="C92" s="2" t="s">
        <v>33</v>
      </c>
      <c r="D92" s="2" t="s">
        <v>12</v>
      </c>
      <c r="E92" s="2">
        <v>92</v>
      </c>
      <c r="F92" s="2">
        <v>38</v>
      </c>
      <c r="G92" s="2">
        <v>1</v>
      </c>
      <c r="H92" s="2" t="s">
        <v>13</v>
      </c>
      <c r="I92" s="2">
        <v>0.97490000003017396</v>
      </c>
      <c r="J92" s="3" t="str">
        <f t="shared" si="1"/>
        <v>consistent</v>
      </c>
    </row>
    <row r="93" spans="1:10" x14ac:dyDescent="0.35">
      <c r="A93" s="2" t="s">
        <v>35</v>
      </c>
      <c r="B93" s="2" t="s">
        <v>22</v>
      </c>
      <c r="C93" s="2" t="s">
        <v>36</v>
      </c>
      <c r="D93" s="2" t="s">
        <v>17</v>
      </c>
      <c r="E93" s="2">
        <v>93</v>
      </c>
      <c r="F93" s="2">
        <v>39</v>
      </c>
      <c r="G93" s="2">
        <v>1</v>
      </c>
      <c r="H93" s="2" t="s">
        <v>18</v>
      </c>
      <c r="I93" s="2">
        <v>0.58114080002997004</v>
      </c>
      <c r="J93" s="3" t="str">
        <f t="shared" si="1"/>
        <v>consistent</v>
      </c>
    </row>
    <row r="94" spans="1:10" x14ac:dyDescent="0.35">
      <c r="A94" s="2" t="s">
        <v>57</v>
      </c>
      <c r="B94" s="2" t="s">
        <v>22</v>
      </c>
      <c r="C94" s="2" t="s">
        <v>53</v>
      </c>
      <c r="D94" s="2" t="s">
        <v>17</v>
      </c>
      <c r="E94" s="2">
        <v>94</v>
      </c>
      <c r="F94" s="2">
        <v>40</v>
      </c>
      <c r="G94" s="2">
        <v>1</v>
      </c>
      <c r="H94" s="2" t="s">
        <v>18</v>
      </c>
      <c r="I94" s="2">
        <v>0.450374000007286</v>
      </c>
      <c r="J94" s="3" t="str">
        <f t="shared" si="1"/>
        <v>consistent</v>
      </c>
    </row>
    <row r="95" spans="1:10" x14ac:dyDescent="0.35">
      <c r="A95" s="2" t="s">
        <v>52</v>
      </c>
      <c r="B95" s="2" t="s">
        <v>15</v>
      </c>
      <c r="C95" s="2" t="s">
        <v>55</v>
      </c>
      <c r="D95" s="2" t="s">
        <v>12</v>
      </c>
      <c r="E95" s="2">
        <v>95</v>
      </c>
      <c r="F95" s="2">
        <v>41</v>
      </c>
      <c r="G95" s="2">
        <v>1</v>
      </c>
      <c r="H95" s="2" t="s">
        <v>13</v>
      </c>
      <c r="I95" s="2">
        <v>0.66882349998922996</v>
      </c>
      <c r="J95" s="3" t="str">
        <f t="shared" si="1"/>
        <v>consistent</v>
      </c>
    </row>
    <row r="96" spans="1:10" hidden="1" x14ac:dyDescent="0.35">
      <c r="A96" s="2" t="s">
        <v>23</v>
      </c>
      <c r="B96" s="2" t="s">
        <v>10</v>
      </c>
      <c r="C96" s="2" t="s">
        <v>24</v>
      </c>
      <c r="D96" s="2" t="s">
        <v>12</v>
      </c>
      <c r="E96" s="2">
        <v>96</v>
      </c>
      <c r="F96" s="2">
        <v>42</v>
      </c>
      <c r="G96" s="2">
        <v>1</v>
      </c>
      <c r="H96" s="2" t="s">
        <v>13</v>
      </c>
      <c r="I96" s="2">
        <v>0.72843110002577305</v>
      </c>
      <c r="J96" s="3" t="str">
        <f t="shared" si="1"/>
        <v>neutral</v>
      </c>
    </row>
    <row r="97" spans="1:10" x14ac:dyDescent="0.35">
      <c r="A97" s="2" t="s">
        <v>48</v>
      </c>
      <c r="B97" s="2" t="s">
        <v>15</v>
      </c>
      <c r="C97" s="2" t="s">
        <v>49</v>
      </c>
      <c r="D97" s="2" t="s">
        <v>12</v>
      </c>
      <c r="E97" s="2">
        <v>97</v>
      </c>
      <c r="F97" s="2">
        <v>43</v>
      </c>
      <c r="G97" s="2">
        <v>1</v>
      </c>
      <c r="H97" s="2" t="s">
        <v>13</v>
      </c>
      <c r="I97" s="2">
        <v>0.51691799995023702</v>
      </c>
      <c r="J97" s="3" t="str">
        <f t="shared" si="1"/>
        <v>consistent</v>
      </c>
    </row>
    <row r="98" spans="1:10" hidden="1" x14ac:dyDescent="0.35">
      <c r="A98" s="2" t="s">
        <v>19</v>
      </c>
      <c r="B98" s="2" t="s">
        <v>10</v>
      </c>
      <c r="C98" s="2" t="s">
        <v>59</v>
      </c>
      <c r="D98" s="2" t="s">
        <v>12</v>
      </c>
      <c r="E98" s="2">
        <v>98</v>
      </c>
      <c r="F98" s="2">
        <v>44</v>
      </c>
      <c r="G98" s="2">
        <v>1</v>
      </c>
      <c r="H98" s="2" t="s">
        <v>13</v>
      </c>
      <c r="I98" s="2">
        <v>0.34952260000863999</v>
      </c>
      <c r="J98" s="3" t="str">
        <f t="shared" si="1"/>
        <v>neutral</v>
      </c>
    </row>
    <row r="99" spans="1:10" x14ac:dyDescent="0.35">
      <c r="A99" s="2" t="s">
        <v>50</v>
      </c>
      <c r="B99" s="2" t="s">
        <v>15</v>
      </c>
      <c r="C99" s="2" t="s">
        <v>20</v>
      </c>
      <c r="D99" s="2" t="s">
        <v>17</v>
      </c>
      <c r="E99" s="2">
        <v>99</v>
      </c>
      <c r="F99" s="2">
        <v>45</v>
      </c>
      <c r="G99" s="2">
        <v>1</v>
      </c>
      <c r="H99" s="2" t="s">
        <v>18</v>
      </c>
      <c r="I99" s="2">
        <v>0.421957799990195</v>
      </c>
      <c r="J99" s="3" t="str">
        <f t="shared" si="1"/>
        <v>inconsistent</v>
      </c>
    </row>
    <row r="100" spans="1:10" x14ac:dyDescent="0.35">
      <c r="A100" s="2" t="s">
        <v>43</v>
      </c>
      <c r="B100" s="2" t="s">
        <v>15</v>
      </c>
      <c r="C100" s="2" t="s">
        <v>60</v>
      </c>
      <c r="D100" s="2" t="s">
        <v>17</v>
      </c>
      <c r="E100" s="2">
        <v>100</v>
      </c>
      <c r="F100" s="2">
        <v>46</v>
      </c>
      <c r="G100" s="2">
        <v>1</v>
      </c>
      <c r="H100" s="2" t="s">
        <v>18</v>
      </c>
      <c r="I100" s="2">
        <v>0.81336060003377497</v>
      </c>
      <c r="J100" s="3" t="str">
        <f t="shared" si="1"/>
        <v>inconsistent</v>
      </c>
    </row>
    <row r="101" spans="1:10" hidden="1" x14ac:dyDescent="0.35">
      <c r="A101" s="2" t="s">
        <v>51</v>
      </c>
      <c r="B101" s="2" t="s">
        <v>10</v>
      </c>
      <c r="C101" s="2" t="s">
        <v>56</v>
      </c>
      <c r="D101" s="2" t="s">
        <v>17</v>
      </c>
      <c r="E101" s="2">
        <v>101</v>
      </c>
      <c r="F101" s="2">
        <v>47</v>
      </c>
      <c r="G101" s="2">
        <v>1</v>
      </c>
      <c r="H101" s="2" t="s">
        <v>18</v>
      </c>
      <c r="I101" s="2">
        <v>0.51417540002148598</v>
      </c>
      <c r="J101" s="3" t="str">
        <f t="shared" si="1"/>
        <v>neutral</v>
      </c>
    </row>
    <row r="102" spans="1:10" hidden="1" x14ac:dyDescent="0.35">
      <c r="A102" s="2" t="s">
        <v>38</v>
      </c>
      <c r="B102" s="2" t="s">
        <v>10</v>
      </c>
      <c r="C102" s="2" t="s">
        <v>41</v>
      </c>
      <c r="D102" s="2" t="s">
        <v>12</v>
      </c>
      <c r="E102" s="2">
        <v>102</v>
      </c>
      <c r="F102" s="2">
        <v>48</v>
      </c>
      <c r="G102" s="2">
        <v>1</v>
      </c>
      <c r="H102" s="2" t="s">
        <v>13</v>
      </c>
      <c r="I102" s="2">
        <v>0.55689829995389994</v>
      </c>
      <c r="J102" s="3" t="str">
        <f t="shared" si="1"/>
        <v>neutral</v>
      </c>
    </row>
    <row r="103" spans="1:10" hidden="1" x14ac:dyDescent="0.35">
      <c r="A103" s="2" t="s">
        <v>45</v>
      </c>
      <c r="B103" s="2" t="s">
        <v>10</v>
      </c>
      <c r="C103" s="2" t="s">
        <v>31</v>
      </c>
      <c r="D103" s="2" t="s">
        <v>17</v>
      </c>
      <c r="E103" s="2">
        <v>103</v>
      </c>
      <c r="F103" s="2">
        <v>49</v>
      </c>
      <c r="G103" s="2">
        <v>1</v>
      </c>
      <c r="H103" s="2" t="s">
        <v>18</v>
      </c>
      <c r="I103" s="2">
        <v>0.57745520002208595</v>
      </c>
      <c r="J103" s="3" t="str">
        <f t="shared" si="1"/>
        <v>neutral</v>
      </c>
    </row>
    <row r="104" spans="1:10" x14ac:dyDescent="0.35">
      <c r="A104" s="2" t="s">
        <v>34</v>
      </c>
      <c r="B104" s="2" t="s">
        <v>15</v>
      </c>
      <c r="C104" s="2" t="s">
        <v>37</v>
      </c>
      <c r="D104" s="2" t="s">
        <v>17</v>
      </c>
      <c r="E104" s="2">
        <v>104</v>
      </c>
      <c r="F104" s="2">
        <v>50</v>
      </c>
      <c r="G104" s="2">
        <v>1</v>
      </c>
      <c r="H104" s="2" t="s">
        <v>18</v>
      </c>
      <c r="I104" s="2">
        <v>0.56131720001576402</v>
      </c>
      <c r="J104" s="3" t="str">
        <f t="shared" si="1"/>
        <v>inconsistent</v>
      </c>
    </row>
    <row r="105" spans="1:10" x14ac:dyDescent="0.35">
      <c r="A105" s="2" t="s">
        <v>62</v>
      </c>
      <c r="B105" s="2" t="s">
        <v>15</v>
      </c>
      <c r="C105" s="2" t="s">
        <v>42</v>
      </c>
      <c r="D105" s="2" t="s">
        <v>12</v>
      </c>
      <c r="E105" s="2">
        <v>105</v>
      </c>
      <c r="F105" s="2">
        <v>51</v>
      </c>
      <c r="G105" s="2">
        <v>1</v>
      </c>
      <c r="H105" s="2" t="s">
        <v>13</v>
      </c>
      <c r="I105" s="2">
        <v>0.47440400003688399</v>
      </c>
      <c r="J105" s="3" t="str">
        <f t="shared" si="1"/>
        <v>consistent</v>
      </c>
    </row>
    <row r="106" spans="1:10" x14ac:dyDescent="0.35">
      <c r="A106" s="2" t="s">
        <v>48</v>
      </c>
      <c r="B106" s="2" t="s">
        <v>15</v>
      </c>
      <c r="C106" s="2" t="s">
        <v>56</v>
      </c>
      <c r="D106" s="2" t="s">
        <v>17</v>
      </c>
      <c r="E106" s="2">
        <v>106</v>
      </c>
      <c r="F106" s="2">
        <v>52</v>
      </c>
      <c r="G106" s="2">
        <v>1</v>
      </c>
      <c r="H106" s="2" t="s">
        <v>18</v>
      </c>
      <c r="I106" s="2">
        <v>0.72278599999844995</v>
      </c>
      <c r="J106" s="3" t="str">
        <f t="shared" si="1"/>
        <v>inconsistent</v>
      </c>
    </row>
    <row r="107" spans="1:10" x14ac:dyDescent="0.35">
      <c r="A107" s="2" t="s">
        <v>40</v>
      </c>
      <c r="B107" s="2" t="s">
        <v>22</v>
      </c>
      <c r="C107" s="2" t="s">
        <v>39</v>
      </c>
      <c r="D107" s="2" t="s">
        <v>17</v>
      </c>
      <c r="E107" s="2">
        <v>107</v>
      </c>
      <c r="F107" s="2">
        <v>53</v>
      </c>
      <c r="G107" s="2">
        <v>1</v>
      </c>
      <c r="H107" s="2" t="s">
        <v>18</v>
      </c>
      <c r="I107" s="2">
        <v>0.52044699998805299</v>
      </c>
      <c r="J107" s="3" t="str">
        <f t="shared" si="1"/>
        <v>consistent</v>
      </c>
    </row>
  </sheetData>
  <autoFilter ref="J1:J107" xr:uid="{B83277D9-C2DA-438B-B4A3-4036BB8FDF98}">
    <filterColumn colId="0">
      <filters blank="1">
        <filter val="consistent"/>
        <filter val="inconsisten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03A5-64A0-4637-8DD7-320A1D42F1AA}">
  <sheetPr filterMode="1"/>
  <dimension ref="A1:L106"/>
  <sheetViews>
    <sheetView workbookViewId="0">
      <selection activeCell="L16" sqref="L16"/>
    </sheetView>
  </sheetViews>
  <sheetFormatPr defaultRowHeight="14.5" x14ac:dyDescent="0.35"/>
  <cols>
    <col min="9" max="9" width="13.6328125" customWidth="1"/>
    <col min="10" max="47" width="23.90625" customWidth="1"/>
  </cols>
  <sheetData>
    <row r="1" spans="1:12" s="7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69</v>
      </c>
    </row>
    <row r="2" spans="1:12" x14ac:dyDescent="0.35">
      <c r="A2" s="2"/>
      <c r="B2" s="2"/>
      <c r="C2" s="2"/>
      <c r="D2" s="2"/>
      <c r="E2" s="2"/>
      <c r="F2" s="2"/>
      <c r="G2" s="2"/>
      <c r="H2" s="2"/>
      <c r="I2" s="2"/>
      <c r="J2" s="4"/>
    </row>
    <row r="3" spans="1:12" x14ac:dyDescent="0.35">
      <c r="A3" s="2" t="s">
        <v>32</v>
      </c>
      <c r="B3" s="2" t="s">
        <v>15</v>
      </c>
      <c r="C3" s="2" t="s">
        <v>33</v>
      </c>
      <c r="D3" s="2" t="s">
        <v>12</v>
      </c>
      <c r="E3" s="2">
        <v>0</v>
      </c>
      <c r="F3" s="2">
        <v>0</v>
      </c>
      <c r="G3" s="2">
        <v>0</v>
      </c>
      <c r="H3" s="2" t="s">
        <v>13</v>
      </c>
      <c r="I3" s="2">
        <v>0.920135000022128</v>
      </c>
      <c r="J3" s="3" t="str">
        <f>IF(OR(AND(B3="masculine",D3="male"), AND(B3="feminine",D3="female")), "consistent",
IF(OR(AND(B3="masculine",D3="female"), AND(B3="feminine",D3="male")), "inconsistent","neutral"))</f>
        <v>consistent</v>
      </c>
    </row>
    <row r="4" spans="1:12" x14ac:dyDescent="0.35">
      <c r="A4" s="2" t="s">
        <v>57</v>
      </c>
      <c r="B4" s="2" t="s">
        <v>22</v>
      </c>
      <c r="C4" s="2" t="s">
        <v>53</v>
      </c>
      <c r="D4" s="2" t="s">
        <v>17</v>
      </c>
      <c r="E4" s="2">
        <v>1</v>
      </c>
      <c r="F4" s="2">
        <v>1</v>
      </c>
      <c r="G4" s="2">
        <v>0</v>
      </c>
      <c r="H4" s="2" t="s">
        <v>18</v>
      </c>
      <c r="I4" s="2">
        <v>0.454975700005888</v>
      </c>
      <c r="J4" s="3" t="str">
        <f t="shared" ref="J4:J67" si="0">IF(OR(AND(B4="masculine",D4="male"), AND(B4="feminine",D4="female")), "consistent",
IF(OR(AND(B4="masculine",D4="female"), AND(B4="feminine",D4="male")), "inconsistent","neutral"))</f>
        <v>consistent</v>
      </c>
    </row>
    <row r="5" spans="1:12" x14ac:dyDescent="0.35">
      <c r="A5" s="2" t="s">
        <v>57</v>
      </c>
      <c r="B5" s="2" t="s">
        <v>22</v>
      </c>
      <c r="C5" s="2" t="s">
        <v>55</v>
      </c>
      <c r="D5" s="2" t="s">
        <v>12</v>
      </c>
      <c r="E5" s="2">
        <v>2</v>
      </c>
      <c r="F5" s="2">
        <v>2</v>
      </c>
      <c r="G5" s="2">
        <v>0</v>
      </c>
      <c r="H5" s="2" t="s">
        <v>13</v>
      </c>
      <c r="I5" s="2">
        <v>0.87256270000943903</v>
      </c>
      <c r="J5" s="3" t="str">
        <f t="shared" si="0"/>
        <v>inconsistent</v>
      </c>
    </row>
    <row r="6" spans="1:12" x14ac:dyDescent="0.35">
      <c r="A6" s="2" t="s">
        <v>21</v>
      </c>
      <c r="B6" s="2" t="s">
        <v>22</v>
      </c>
      <c r="C6" s="2" t="s">
        <v>20</v>
      </c>
      <c r="D6" s="2" t="s">
        <v>17</v>
      </c>
      <c r="E6" s="2">
        <v>3</v>
      </c>
      <c r="F6" s="2">
        <v>3</v>
      </c>
      <c r="G6" s="2">
        <v>0</v>
      </c>
      <c r="H6" s="2" t="s">
        <v>18</v>
      </c>
      <c r="I6" s="2">
        <v>0.417873800033703</v>
      </c>
      <c r="J6" s="3" t="str">
        <f t="shared" si="0"/>
        <v>consistent</v>
      </c>
    </row>
    <row r="7" spans="1:12" x14ac:dyDescent="0.35">
      <c r="A7" s="2" t="s">
        <v>47</v>
      </c>
      <c r="B7" s="2" t="s">
        <v>22</v>
      </c>
      <c r="C7" s="2" t="s">
        <v>37</v>
      </c>
      <c r="D7" s="2" t="s">
        <v>17</v>
      </c>
      <c r="E7" s="2">
        <v>5</v>
      </c>
      <c r="F7" s="2">
        <v>5</v>
      </c>
      <c r="G7" s="2">
        <v>0</v>
      </c>
      <c r="H7" s="2" t="s">
        <v>18</v>
      </c>
      <c r="I7" s="2">
        <v>0.80253639997681603</v>
      </c>
      <c r="J7" s="3" t="str">
        <f t="shared" si="0"/>
        <v>consistent</v>
      </c>
    </row>
    <row r="8" spans="1:12" x14ac:dyDescent="0.35">
      <c r="A8" s="2" t="s">
        <v>40</v>
      </c>
      <c r="B8" s="2" t="s">
        <v>22</v>
      </c>
      <c r="C8" s="2" t="s">
        <v>39</v>
      </c>
      <c r="D8" s="2" t="s">
        <v>17</v>
      </c>
      <c r="E8" s="2">
        <v>6</v>
      </c>
      <c r="F8" s="2">
        <v>6</v>
      </c>
      <c r="G8" s="2">
        <v>0</v>
      </c>
      <c r="H8" s="2" t="s">
        <v>18</v>
      </c>
      <c r="I8" s="2">
        <v>0.52689899998949796</v>
      </c>
      <c r="J8" s="3" t="str">
        <f t="shared" si="0"/>
        <v>consistent</v>
      </c>
      <c r="K8" s="5" t="s">
        <v>71</v>
      </c>
      <c r="L8" s="4">
        <f>AVERAGE(I3:I102)</f>
        <v>0.66305062000232251</v>
      </c>
    </row>
    <row r="9" spans="1:12" x14ac:dyDescent="0.35">
      <c r="A9" s="2" t="s">
        <v>61</v>
      </c>
      <c r="B9" s="2" t="s">
        <v>22</v>
      </c>
      <c r="C9" s="2" t="s">
        <v>44</v>
      </c>
      <c r="D9" s="2" t="s">
        <v>12</v>
      </c>
      <c r="E9" s="2">
        <v>7</v>
      </c>
      <c r="F9" s="2">
        <v>7</v>
      </c>
      <c r="G9" s="2">
        <v>0</v>
      </c>
      <c r="H9" s="2" t="s">
        <v>13</v>
      </c>
      <c r="I9" s="2">
        <v>0.78238530002999995</v>
      </c>
      <c r="J9" s="3" t="str">
        <f t="shared" si="0"/>
        <v>inconsistent</v>
      </c>
      <c r="K9" s="5" t="s">
        <v>70</v>
      </c>
      <c r="L9" s="4">
        <f>AVERAGE(I5:I104)</f>
        <v>0.65824032400210808</v>
      </c>
    </row>
    <row r="10" spans="1:12" hidden="1" x14ac:dyDescent="0.35">
      <c r="A10" s="2" t="s">
        <v>23</v>
      </c>
      <c r="B10" s="2" t="s">
        <v>10</v>
      </c>
      <c r="C10" s="2" t="s">
        <v>16</v>
      </c>
      <c r="D10" s="2" t="s">
        <v>17</v>
      </c>
      <c r="E10" s="2">
        <v>8</v>
      </c>
      <c r="F10" s="2">
        <v>8</v>
      </c>
      <c r="G10" s="2">
        <v>0</v>
      </c>
      <c r="H10" s="2" t="s">
        <v>18</v>
      </c>
      <c r="I10" s="2">
        <v>0.49548679997678802</v>
      </c>
      <c r="J10" s="3" t="str">
        <f t="shared" si="0"/>
        <v>neutral</v>
      </c>
    </row>
    <row r="11" spans="1:12" x14ac:dyDescent="0.35">
      <c r="A11" s="2" t="s">
        <v>48</v>
      </c>
      <c r="B11" s="2" t="s">
        <v>15</v>
      </c>
      <c r="C11" s="2" t="s">
        <v>56</v>
      </c>
      <c r="D11" s="2" t="s">
        <v>17</v>
      </c>
      <c r="E11" s="2">
        <v>9</v>
      </c>
      <c r="F11" s="2">
        <v>9</v>
      </c>
      <c r="G11" s="2">
        <v>0</v>
      </c>
      <c r="H11" s="2" t="s">
        <v>18</v>
      </c>
      <c r="I11" s="2">
        <v>0.50126280001131795</v>
      </c>
      <c r="J11" s="3" t="str">
        <f t="shared" si="0"/>
        <v>inconsistent</v>
      </c>
    </row>
    <row r="12" spans="1:12" x14ac:dyDescent="0.35">
      <c r="A12" s="2" t="s">
        <v>47</v>
      </c>
      <c r="B12" s="2" t="s">
        <v>22</v>
      </c>
      <c r="C12" s="2" t="s">
        <v>11</v>
      </c>
      <c r="D12" s="2" t="s">
        <v>12</v>
      </c>
      <c r="E12" s="2">
        <v>10</v>
      </c>
      <c r="F12" s="2">
        <v>10</v>
      </c>
      <c r="G12" s="2">
        <v>0</v>
      </c>
      <c r="H12" s="2" t="s">
        <v>13</v>
      </c>
      <c r="I12" s="2">
        <v>0.68742010003188603</v>
      </c>
      <c r="J12" s="3" t="str">
        <f t="shared" si="0"/>
        <v>inconsistent</v>
      </c>
      <c r="K12" s="2" t="s">
        <v>76</v>
      </c>
      <c r="L12" s="4">
        <f>AVERAGEIFS(I3:I104, J3:J104, "consistent", D3:D104, "male")</f>
        <v>0.56805363888593563</v>
      </c>
    </row>
    <row r="13" spans="1:12" hidden="1" x14ac:dyDescent="0.35">
      <c r="A13" s="2" t="s">
        <v>9</v>
      </c>
      <c r="B13" s="2" t="s">
        <v>10</v>
      </c>
      <c r="C13" s="2" t="s">
        <v>11</v>
      </c>
      <c r="D13" s="2" t="s">
        <v>12</v>
      </c>
      <c r="E13" s="2">
        <v>11</v>
      </c>
      <c r="F13" s="2">
        <v>11</v>
      </c>
      <c r="G13" s="2">
        <v>0</v>
      </c>
      <c r="H13" s="2" t="s">
        <v>13</v>
      </c>
      <c r="I13" s="2">
        <v>0.66630440001608804</v>
      </c>
      <c r="J13" s="3" t="str">
        <f t="shared" si="0"/>
        <v>neutral</v>
      </c>
      <c r="K13" s="9" t="s">
        <v>77</v>
      </c>
    </row>
    <row r="14" spans="1:12" x14ac:dyDescent="0.35">
      <c r="A14" s="2" t="s">
        <v>30</v>
      </c>
      <c r="B14" s="2" t="s">
        <v>22</v>
      </c>
      <c r="C14" s="2" t="s">
        <v>33</v>
      </c>
      <c r="D14" s="2" t="s">
        <v>12</v>
      </c>
      <c r="E14" s="2">
        <v>12</v>
      </c>
      <c r="F14" s="2">
        <v>12</v>
      </c>
      <c r="G14" s="2">
        <v>0</v>
      </c>
      <c r="H14" s="2" t="s">
        <v>13</v>
      </c>
      <c r="I14" s="2">
        <v>0.75153619999764398</v>
      </c>
      <c r="J14" s="3" t="str">
        <f t="shared" si="0"/>
        <v>inconsistent</v>
      </c>
      <c r="K14" s="2" t="s">
        <v>77</v>
      </c>
      <c r="L14" s="4">
        <f>AVERAGEIFS(I3:I104, J3:J104, "consistent", D3:D104, "female")</f>
        <v>0.60615593685743985</v>
      </c>
    </row>
    <row r="15" spans="1:12" x14ac:dyDescent="0.35">
      <c r="A15" s="2" t="s">
        <v>52</v>
      </c>
      <c r="B15" s="2" t="s">
        <v>15</v>
      </c>
      <c r="C15" s="2" t="s">
        <v>55</v>
      </c>
      <c r="D15" s="2" t="s">
        <v>12</v>
      </c>
      <c r="E15" s="2">
        <v>13</v>
      </c>
      <c r="F15" s="2">
        <v>13</v>
      </c>
      <c r="G15" s="2">
        <v>0</v>
      </c>
      <c r="H15" s="2" t="s">
        <v>13</v>
      </c>
      <c r="I15" s="2">
        <v>0.61873139999806803</v>
      </c>
      <c r="J15" s="3" t="str">
        <f t="shared" si="0"/>
        <v>consistent</v>
      </c>
      <c r="K15" s="2" t="s">
        <v>78</v>
      </c>
      <c r="L15" s="4">
        <f>AVERAGEIFS(I3:I104, J3:J104, "inconsistent", D3:D104, "male")</f>
        <v>0.73055453683972593</v>
      </c>
    </row>
    <row r="16" spans="1:12" x14ac:dyDescent="0.35">
      <c r="A16" s="2" t="s">
        <v>34</v>
      </c>
      <c r="B16" s="2" t="s">
        <v>15</v>
      </c>
      <c r="C16" s="2" t="s">
        <v>11</v>
      </c>
      <c r="D16" s="2" t="s">
        <v>12</v>
      </c>
      <c r="E16" s="2">
        <v>14</v>
      </c>
      <c r="F16" s="2">
        <v>14</v>
      </c>
      <c r="G16" s="2">
        <v>0</v>
      </c>
      <c r="H16" s="2" t="s">
        <v>13</v>
      </c>
      <c r="I16" s="2">
        <v>0.44355990004259999</v>
      </c>
      <c r="J16" s="3" t="str">
        <f t="shared" si="0"/>
        <v>consistent</v>
      </c>
      <c r="K16" s="2" t="s">
        <v>79</v>
      </c>
      <c r="L16" s="4">
        <f>AVERAGEIFS(I3:I104, J3:J104, "inconsistent", D3:D104, "female")</f>
        <v>0.71583986666519128</v>
      </c>
    </row>
    <row r="17" spans="1:10" hidden="1" x14ac:dyDescent="0.35">
      <c r="A17" s="2" t="s">
        <v>45</v>
      </c>
      <c r="B17" s="2" t="s">
        <v>10</v>
      </c>
      <c r="C17" s="2" t="s">
        <v>31</v>
      </c>
      <c r="D17" s="2" t="s">
        <v>17</v>
      </c>
      <c r="E17" s="2">
        <v>15</v>
      </c>
      <c r="F17" s="2">
        <v>15</v>
      </c>
      <c r="G17" s="2">
        <v>0</v>
      </c>
      <c r="H17" s="2" t="s">
        <v>18</v>
      </c>
      <c r="I17" s="2">
        <v>0.51581660000374496</v>
      </c>
      <c r="J17" s="3" t="str">
        <f t="shared" si="0"/>
        <v>neutral</v>
      </c>
    </row>
    <row r="18" spans="1:10" x14ac:dyDescent="0.35">
      <c r="A18" s="2" t="s">
        <v>28</v>
      </c>
      <c r="B18" s="2" t="s">
        <v>15</v>
      </c>
      <c r="C18" s="2" t="s">
        <v>29</v>
      </c>
      <c r="D18" s="2" t="s">
        <v>12</v>
      </c>
      <c r="E18" s="2">
        <v>16</v>
      </c>
      <c r="F18" s="2">
        <v>16</v>
      </c>
      <c r="G18" s="2">
        <v>0</v>
      </c>
      <c r="H18" s="2" t="s">
        <v>13</v>
      </c>
      <c r="I18" s="2">
        <v>0.40326460002688602</v>
      </c>
      <c r="J18" s="3" t="str">
        <f t="shared" si="0"/>
        <v>consistent</v>
      </c>
    </row>
    <row r="19" spans="1:10" x14ac:dyDescent="0.35">
      <c r="A19" s="2" t="s">
        <v>32</v>
      </c>
      <c r="B19" s="2" t="s">
        <v>15</v>
      </c>
      <c r="C19" s="2" t="s">
        <v>31</v>
      </c>
      <c r="D19" s="2" t="s">
        <v>17</v>
      </c>
      <c r="E19" s="2">
        <v>17</v>
      </c>
      <c r="F19" s="2">
        <v>17</v>
      </c>
      <c r="G19" s="2">
        <v>0</v>
      </c>
      <c r="H19" s="2" t="s">
        <v>18</v>
      </c>
      <c r="I19" s="2">
        <v>0.54235809994861395</v>
      </c>
      <c r="J19" s="3" t="str">
        <f t="shared" si="0"/>
        <v>inconsistent</v>
      </c>
    </row>
    <row r="20" spans="1:10" hidden="1" x14ac:dyDescent="0.35">
      <c r="A20" s="2" t="s">
        <v>23</v>
      </c>
      <c r="B20" s="2" t="s">
        <v>10</v>
      </c>
      <c r="C20" s="2" t="s">
        <v>24</v>
      </c>
      <c r="D20" s="2" t="s">
        <v>12</v>
      </c>
      <c r="E20" s="2">
        <v>18</v>
      </c>
      <c r="F20" s="2">
        <v>18</v>
      </c>
      <c r="G20" s="2">
        <v>0</v>
      </c>
      <c r="H20" s="2" t="s">
        <v>13</v>
      </c>
      <c r="I20" s="2">
        <v>0.69715389999328103</v>
      </c>
      <c r="J20" s="3" t="str">
        <f t="shared" si="0"/>
        <v>neutral</v>
      </c>
    </row>
    <row r="21" spans="1:10" hidden="1" x14ac:dyDescent="0.35">
      <c r="A21" s="2" t="s">
        <v>19</v>
      </c>
      <c r="B21" s="2" t="s">
        <v>10</v>
      </c>
      <c r="C21" s="2" t="s">
        <v>59</v>
      </c>
      <c r="D21" s="2" t="s">
        <v>12</v>
      </c>
      <c r="E21" s="2">
        <v>19</v>
      </c>
      <c r="F21" s="2">
        <v>19</v>
      </c>
      <c r="G21" s="2">
        <v>0</v>
      </c>
      <c r="H21" s="2" t="s">
        <v>13</v>
      </c>
      <c r="I21" s="2">
        <v>0.91421610000543296</v>
      </c>
      <c r="J21" s="3" t="str">
        <f t="shared" si="0"/>
        <v>neutral</v>
      </c>
    </row>
    <row r="22" spans="1:10" x14ac:dyDescent="0.35">
      <c r="A22" s="2" t="s">
        <v>48</v>
      </c>
      <c r="B22" s="2" t="s">
        <v>15</v>
      </c>
      <c r="C22" s="2" t="s">
        <v>49</v>
      </c>
      <c r="D22" s="2" t="s">
        <v>12</v>
      </c>
      <c r="E22" s="2">
        <v>20</v>
      </c>
      <c r="F22" s="2">
        <v>20</v>
      </c>
      <c r="G22" s="2">
        <v>0</v>
      </c>
      <c r="H22" s="2" t="s">
        <v>13</v>
      </c>
      <c r="I22" s="2">
        <v>0.68679040001006797</v>
      </c>
      <c r="J22" s="3" t="str">
        <f t="shared" si="0"/>
        <v>consistent</v>
      </c>
    </row>
    <row r="23" spans="1:10" hidden="1" x14ac:dyDescent="0.35">
      <c r="A23" s="2" t="s">
        <v>58</v>
      </c>
      <c r="B23" s="2" t="s">
        <v>10</v>
      </c>
      <c r="C23" s="2" t="s">
        <v>36</v>
      </c>
      <c r="D23" s="2" t="s">
        <v>17</v>
      </c>
      <c r="E23" s="2">
        <v>21</v>
      </c>
      <c r="F23" s="2">
        <v>21</v>
      </c>
      <c r="G23" s="2">
        <v>0</v>
      </c>
      <c r="H23" s="2" t="s">
        <v>18</v>
      </c>
      <c r="I23" s="2">
        <v>0.83501979999709797</v>
      </c>
      <c r="J23" s="3" t="str">
        <f t="shared" si="0"/>
        <v>neutral</v>
      </c>
    </row>
    <row r="24" spans="1:10" x14ac:dyDescent="0.35">
      <c r="A24" s="2" t="s">
        <v>25</v>
      </c>
      <c r="B24" s="2" t="s">
        <v>22</v>
      </c>
      <c r="C24" s="2" t="s">
        <v>24</v>
      </c>
      <c r="D24" s="2" t="s">
        <v>12</v>
      </c>
      <c r="E24" s="2">
        <v>22</v>
      </c>
      <c r="F24" s="2">
        <v>22</v>
      </c>
      <c r="G24" s="2">
        <v>0</v>
      </c>
      <c r="H24" s="2" t="s">
        <v>13</v>
      </c>
      <c r="I24" s="2">
        <v>0.58041070000035599</v>
      </c>
      <c r="J24" s="3" t="str">
        <f t="shared" si="0"/>
        <v>inconsistent</v>
      </c>
    </row>
    <row r="25" spans="1:10" x14ac:dyDescent="0.35">
      <c r="A25" s="2" t="s">
        <v>21</v>
      </c>
      <c r="B25" s="2" t="s">
        <v>22</v>
      </c>
      <c r="C25" s="2" t="s">
        <v>59</v>
      </c>
      <c r="D25" s="2" t="s">
        <v>12</v>
      </c>
      <c r="E25" s="2">
        <v>23</v>
      </c>
      <c r="F25" s="2">
        <v>23</v>
      </c>
      <c r="G25" s="2">
        <v>0</v>
      </c>
      <c r="H25" s="2" t="s">
        <v>13</v>
      </c>
      <c r="I25" s="2">
        <v>0.55968070001108505</v>
      </c>
      <c r="J25" s="3" t="str">
        <f t="shared" si="0"/>
        <v>inconsistent</v>
      </c>
    </row>
    <row r="26" spans="1:10" x14ac:dyDescent="0.35">
      <c r="A26" s="2" t="s">
        <v>14</v>
      </c>
      <c r="B26" s="2" t="s">
        <v>15</v>
      </c>
      <c r="C26" s="2" t="s">
        <v>24</v>
      </c>
      <c r="D26" s="2" t="s">
        <v>12</v>
      </c>
      <c r="E26" s="2">
        <v>24</v>
      </c>
      <c r="F26" s="2">
        <v>24</v>
      </c>
      <c r="G26" s="2">
        <v>0</v>
      </c>
      <c r="H26" s="2" t="s">
        <v>13</v>
      </c>
      <c r="I26" s="2">
        <v>1.04564490000484</v>
      </c>
      <c r="J26" s="3" t="str">
        <f t="shared" si="0"/>
        <v>consistent</v>
      </c>
    </row>
    <row r="27" spans="1:10" x14ac:dyDescent="0.35">
      <c r="A27" s="2" t="s">
        <v>46</v>
      </c>
      <c r="B27" s="2" t="s">
        <v>15</v>
      </c>
      <c r="C27" s="2" t="s">
        <v>39</v>
      </c>
      <c r="D27" s="2" t="s">
        <v>17</v>
      </c>
      <c r="E27" s="2">
        <v>25</v>
      </c>
      <c r="F27" s="2">
        <v>25</v>
      </c>
      <c r="G27" s="2">
        <v>0</v>
      </c>
      <c r="H27" s="2" t="s">
        <v>18</v>
      </c>
      <c r="I27" s="2">
        <v>0.73650890000863001</v>
      </c>
      <c r="J27" s="3" t="str">
        <f t="shared" si="0"/>
        <v>inconsistent</v>
      </c>
    </row>
    <row r="28" spans="1:10" hidden="1" x14ac:dyDescent="0.35">
      <c r="A28" s="2" t="s">
        <v>54</v>
      </c>
      <c r="B28" s="2" t="s">
        <v>10</v>
      </c>
      <c r="C28" s="2" t="s">
        <v>44</v>
      </c>
      <c r="D28" s="2" t="s">
        <v>12</v>
      </c>
      <c r="E28" s="2">
        <v>26</v>
      </c>
      <c r="F28" s="2">
        <v>26</v>
      </c>
      <c r="G28" s="2">
        <v>0</v>
      </c>
      <c r="H28" s="2" t="s">
        <v>13</v>
      </c>
      <c r="I28" s="2">
        <v>0.70831959997303695</v>
      </c>
      <c r="J28" s="3" t="str">
        <f t="shared" si="0"/>
        <v>neutral</v>
      </c>
    </row>
    <row r="29" spans="1:10" x14ac:dyDescent="0.35">
      <c r="A29" s="2" t="s">
        <v>14</v>
      </c>
      <c r="B29" s="2" t="s">
        <v>15</v>
      </c>
      <c r="C29" s="2" t="s">
        <v>16</v>
      </c>
      <c r="D29" s="2" t="s">
        <v>17</v>
      </c>
      <c r="E29" s="2">
        <v>27</v>
      </c>
      <c r="F29" s="2">
        <v>27</v>
      </c>
      <c r="G29" s="2">
        <v>0</v>
      </c>
      <c r="H29" s="2" t="s">
        <v>18</v>
      </c>
      <c r="I29" s="2">
        <v>0.58104559994535498</v>
      </c>
      <c r="J29" s="3" t="str">
        <f t="shared" si="0"/>
        <v>inconsistent</v>
      </c>
    </row>
    <row r="30" spans="1:10" hidden="1" x14ac:dyDescent="0.35">
      <c r="A30" s="2" t="s">
        <v>19</v>
      </c>
      <c r="B30" s="2" t="s">
        <v>10</v>
      </c>
      <c r="C30" s="2" t="s">
        <v>20</v>
      </c>
      <c r="D30" s="2" t="s">
        <v>17</v>
      </c>
      <c r="E30" s="2">
        <v>28</v>
      </c>
      <c r="F30" s="2">
        <v>28</v>
      </c>
      <c r="G30" s="2">
        <v>0</v>
      </c>
      <c r="H30" s="2" t="s">
        <v>18</v>
      </c>
      <c r="I30" s="2">
        <v>0.60343179997289498</v>
      </c>
      <c r="J30" s="3" t="str">
        <f t="shared" si="0"/>
        <v>neutral</v>
      </c>
    </row>
    <row r="31" spans="1:10" x14ac:dyDescent="0.35">
      <c r="A31" s="2" t="s">
        <v>62</v>
      </c>
      <c r="B31" s="2" t="s">
        <v>15</v>
      </c>
      <c r="C31" s="2" t="s">
        <v>42</v>
      </c>
      <c r="D31" s="2" t="s">
        <v>12</v>
      </c>
      <c r="E31" s="2">
        <v>29</v>
      </c>
      <c r="F31" s="2">
        <v>29</v>
      </c>
      <c r="G31" s="2">
        <v>0</v>
      </c>
      <c r="H31" s="2" t="s">
        <v>13</v>
      </c>
      <c r="I31" s="2">
        <v>0.45943909999914401</v>
      </c>
      <c r="J31" s="3" t="str">
        <f t="shared" si="0"/>
        <v>consistent</v>
      </c>
    </row>
    <row r="32" spans="1:10" x14ac:dyDescent="0.35">
      <c r="A32" s="2" t="s">
        <v>26</v>
      </c>
      <c r="B32" s="2" t="s">
        <v>22</v>
      </c>
      <c r="C32" s="2" t="s">
        <v>29</v>
      </c>
      <c r="D32" s="2" t="s">
        <v>12</v>
      </c>
      <c r="E32" s="2">
        <v>30</v>
      </c>
      <c r="F32" s="2">
        <v>30</v>
      </c>
      <c r="G32" s="2">
        <v>0</v>
      </c>
      <c r="H32" s="2" t="s">
        <v>13</v>
      </c>
      <c r="I32" s="2">
        <v>0.62851640000008002</v>
      </c>
      <c r="J32" s="3" t="str">
        <f t="shared" si="0"/>
        <v>inconsistent</v>
      </c>
    </row>
    <row r="33" spans="1:10" x14ac:dyDescent="0.35">
      <c r="A33" s="2" t="s">
        <v>50</v>
      </c>
      <c r="B33" s="2" t="s">
        <v>15</v>
      </c>
      <c r="C33" s="2" t="s">
        <v>59</v>
      </c>
      <c r="D33" s="2" t="s">
        <v>12</v>
      </c>
      <c r="E33" s="2">
        <v>31</v>
      </c>
      <c r="F33" s="2">
        <v>31</v>
      </c>
      <c r="G33" s="2">
        <v>0</v>
      </c>
      <c r="H33" s="2" t="s">
        <v>13</v>
      </c>
      <c r="I33" s="2">
        <v>0.377109199995175</v>
      </c>
      <c r="J33" s="3" t="str">
        <f t="shared" si="0"/>
        <v>consistent</v>
      </c>
    </row>
    <row r="34" spans="1:10" hidden="1" x14ac:dyDescent="0.35">
      <c r="A34" s="2" t="s">
        <v>54</v>
      </c>
      <c r="B34" s="2" t="s">
        <v>10</v>
      </c>
      <c r="C34" s="2" t="s">
        <v>60</v>
      </c>
      <c r="D34" s="2" t="s">
        <v>17</v>
      </c>
      <c r="E34" s="2">
        <v>32</v>
      </c>
      <c r="F34" s="2">
        <v>32</v>
      </c>
      <c r="G34" s="2">
        <v>0</v>
      </c>
      <c r="H34" s="2" t="s">
        <v>18</v>
      </c>
      <c r="I34" s="2">
        <v>0.68058789998758495</v>
      </c>
      <c r="J34" s="3" t="str">
        <f t="shared" si="0"/>
        <v>neutral</v>
      </c>
    </row>
    <row r="35" spans="1:10" x14ac:dyDescent="0.35">
      <c r="A35" s="2" t="s">
        <v>35</v>
      </c>
      <c r="B35" s="2" t="s">
        <v>22</v>
      </c>
      <c r="C35" s="2" t="s">
        <v>42</v>
      </c>
      <c r="D35" s="2" t="s">
        <v>12</v>
      </c>
      <c r="E35" s="2">
        <v>34</v>
      </c>
      <c r="F35" s="2">
        <v>34</v>
      </c>
      <c r="G35" s="2">
        <v>0</v>
      </c>
      <c r="H35" s="2" t="s">
        <v>13</v>
      </c>
      <c r="I35" s="2">
        <v>0.71826829999918096</v>
      </c>
      <c r="J35" s="3" t="str">
        <f t="shared" si="0"/>
        <v>inconsistent</v>
      </c>
    </row>
    <row r="36" spans="1:10" hidden="1" x14ac:dyDescent="0.35">
      <c r="A36" s="2" t="s">
        <v>45</v>
      </c>
      <c r="B36" s="2" t="s">
        <v>10</v>
      </c>
      <c r="C36" s="2" t="s">
        <v>33</v>
      </c>
      <c r="D36" s="2" t="s">
        <v>12</v>
      </c>
      <c r="E36" s="2">
        <v>35</v>
      </c>
      <c r="F36" s="2">
        <v>35</v>
      </c>
      <c r="G36" s="2">
        <v>0</v>
      </c>
      <c r="H36" s="2" t="s">
        <v>13</v>
      </c>
      <c r="I36" s="2">
        <v>0.69168600003467795</v>
      </c>
      <c r="J36" s="3" t="str">
        <f t="shared" si="0"/>
        <v>neutral</v>
      </c>
    </row>
    <row r="37" spans="1:10" x14ac:dyDescent="0.35">
      <c r="A37" s="2" t="s">
        <v>61</v>
      </c>
      <c r="B37" s="2" t="s">
        <v>22</v>
      </c>
      <c r="C37" s="2" t="s">
        <v>60</v>
      </c>
      <c r="D37" s="2" t="s">
        <v>17</v>
      </c>
      <c r="E37" s="2">
        <v>36</v>
      </c>
      <c r="F37" s="2">
        <v>36</v>
      </c>
      <c r="G37" s="2">
        <v>0</v>
      </c>
      <c r="H37" s="2" t="s">
        <v>18</v>
      </c>
      <c r="I37" s="2">
        <v>0.47371439996641101</v>
      </c>
      <c r="J37" s="3" t="str">
        <f t="shared" si="0"/>
        <v>consistent</v>
      </c>
    </row>
    <row r="38" spans="1:10" x14ac:dyDescent="0.35">
      <c r="A38" s="2" t="s">
        <v>26</v>
      </c>
      <c r="B38" s="2" t="s">
        <v>22</v>
      </c>
      <c r="C38" s="2" t="s">
        <v>27</v>
      </c>
      <c r="D38" s="2" t="s">
        <v>17</v>
      </c>
      <c r="E38" s="2">
        <v>38</v>
      </c>
      <c r="F38" s="2">
        <v>38</v>
      </c>
      <c r="G38" s="2">
        <v>0</v>
      </c>
      <c r="H38" s="2" t="s">
        <v>18</v>
      </c>
      <c r="I38" s="2">
        <v>0.88366960000712402</v>
      </c>
      <c r="J38" s="3" t="str">
        <f t="shared" si="0"/>
        <v>consistent</v>
      </c>
    </row>
    <row r="39" spans="1:10" x14ac:dyDescent="0.35">
      <c r="A39" s="2" t="s">
        <v>52</v>
      </c>
      <c r="B39" s="2" t="s">
        <v>15</v>
      </c>
      <c r="C39" s="2" t="s">
        <v>53</v>
      </c>
      <c r="D39" s="2" t="s">
        <v>17</v>
      </c>
      <c r="E39" s="2">
        <v>39</v>
      </c>
      <c r="F39" s="2">
        <v>39</v>
      </c>
      <c r="G39" s="2">
        <v>0</v>
      </c>
      <c r="H39" s="2" t="s">
        <v>18</v>
      </c>
      <c r="I39" s="2">
        <v>0.63265759998466797</v>
      </c>
      <c r="J39" s="3" t="str">
        <f t="shared" si="0"/>
        <v>inconsistent</v>
      </c>
    </row>
    <row r="40" spans="1:10" x14ac:dyDescent="0.35">
      <c r="A40" s="2" t="s">
        <v>43</v>
      </c>
      <c r="B40" s="2" t="s">
        <v>15</v>
      </c>
      <c r="C40" s="2" t="s">
        <v>60</v>
      </c>
      <c r="D40" s="2" t="s">
        <v>17</v>
      </c>
      <c r="E40" s="2">
        <v>40</v>
      </c>
      <c r="F40" s="2">
        <v>40</v>
      </c>
      <c r="G40" s="2">
        <v>0</v>
      </c>
      <c r="H40" s="2" t="s">
        <v>18</v>
      </c>
      <c r="I40" s="2">
        <v>0.74844390002544903</v>
      </c>
      <c r="J40" s="3" t="str">
        <f t="shared" si="0"/>
        <v>inconsistent</v>
      </c>
    </row>
    <row r="41" spans="1:10" x14ac:dyDescent="0.35">
      <c r="A41" s="2" t="s">
        <v>25</v>
      </c>
      <c r="B41" s="2" t="s">
        <v>22</v>
      </c>
      <c r="C41" s="2" t="s">
        <v>16</v>
      </c>
      <c r="D41" s="2" t="s">
        <v>17</v>
      </c>
      <c r="E41" s="2">
        <v>41</v>
      </c>
      <c r="F41" s="2">
        <v>41</v>
      </c>
      <c r="G41" s="2">
        <v>0</v>
      </c>
      <c r="H41" s="2" t="s">
        <v>18</v>
      </c>
      <c r="I41" s="2">
        <v>0.44872679997934001</v>
      </c>
      <c r="J41" s="3" t="str">
        <f t="shared" si="0"/>
        <v>consistent</v>
      </c>
    </row>
    <row r="42" spans="1:10" hidden="1" x14ac:dyDescent="0.35">
      <c r="A42" s="2" t="s">
        <v>58</v>
      </c>
      <c r="B42" s="2" t="s">
        <v>10</v>
      </c>
      <c r="C42" s="2" t="s">
        <v>42</v>
      </c>
      <c r="D42" s="2" t="s">
        <v>12</v>
      </c>
      <c r="E42" s="2">
        <v>42</v>
      </c>
      <c r="F42" s="2">
        <v>42</v>
      </c>
      <c r="G42" s="2">
        <v>0</v>
      </c>
      <c r="H42" s="2" t="s">
        <v>13</v>
      </c>
      <c r="I42" s="2">
        <v>0.77499170001828999</v>
      </c>
      <c r="J42" s="3" t="str">
        <f t="shared" si="0"/>
        <v>neutral</v>
      </c>
    </row>
    <row r="43" spans="1:10" hidden="1" x14ac:dyDescent="0.35">
      <c r="A43" s="2" t="s">
        <v>51</v>
      </c>
      <c r="B43" s="2" t="s">
        <v>10</v>
      </c>
      <c r="C43" s="2" t="s">
        <v>56</v>
      </c>
      <c r="D43" s="2" t="s">
        <v>17</v>
      </c>
      <c r="E43" s="2">
        <v>43</v>
      </c>
      <c r="F43" s="2">
        <v>43</v>
      </c>
      <c r="G43" s="2">
        <v>0</v>
      </c>
      <c r="H43" s="2" t="s">
        <v>18</v>
      </c>
      <c r="I43" s="2">
        <v>0.80005469999741696</v>
      </c>
      <c r="J43" s="3" t="str">
        <f t="shared" si="0"/>
        <v>neutral</v>
      </c>
    </row>
    <row r="44" spans="1:10" x14ac:dyDescent="0.35">
      <c r="A44" s="2" t="s">
        <v>40</v>
      </c>
      <c r="B44" s="2" t="s">
        <v>22</v>
      </c>
      <c r="C44" s="2" t="s">
        <v>41</v>
      </c>
      <c r="D44" s="2" t="s">
        <v>12</v>
      </c>
      <c r="E44" s="2">
        <v>44</v>
      </c>
      <c r="F44" s="2">
        <v>44</v>
      </c>
      <c r="G44" s="2">
        <v>0</v>
      </c>
      <c r="H44" s="2" t="s">
        <v>13</v>
      </c>
      <c r="I44" s="2">
        <v>0.59094490000279598</v>
      </c>
      <c r="J44" s="3" t="str">
        <f t="shared" si="0"/>
        <v>inconsistent</v>
      </c>
    </row>
    <row r="45" spans="1:10" x14ac:dyDescent="0.35">
      <c r="A45" s="2" t="s">
        <v>28</v>
      </c>
      <c r="B45" s="2" t="s">
        <v>15</v>
      </c>
      <c r="C45" s="2" t="s">
        <v>27</v>
      </c>
      <c r="D45" s="2" t="s">
        <v>17</v>
      </c>
      <c r="E45" s="2">
        <v>45</v>
      </c>
      <c r="F45" s="2">
        <v>45</v>
      </c>
      <c r="G45" s="2">
        <v>0</v>
      </c>
      <c r="H45" s="2" t="s">
        <v>18</v>
      </c>
      <c r="I45" s="2">
        <v>0.641640499990899</v>
      </c>
      <c r="J45" s="3" t="str">
        <f t="shared" si="0"/>
        <v>inconsistent</v>
      </c>
    </row>
    <row r="46" spans="1:10" x14ac:dyDescent="0.35">
      <c r="A46" s="2" t="s">
        <v>46</v>
      </c>
      <c r="B46" s="2" t="s">
        <v>15</v>
      </c>
      <c r="C46" s="2" t="s">
        <v>41</v>
      </c>
      <c r="D46" s="2" t="s">
        <v>12</v>
      </c>
      <c r="E46" s="2">
        <v>46</v>
      </c>
      <c r="F46" s="2">
        <v>46</v>
      </c>
      <c r="G46" s="2">
        <v>0</v>
      </c>
      <c r="H46" s="2" t="s">
        <v>13</v>
      </c>
      <c r="I46" s="2">
        <v>0.62484290002612397</v>
      </c>
      <c r="J46" s="3" t="str">
        <f t="shared" si="0"/>
        <v>consistent</v>
      </c>
    </row>
    <row r="47" spans="1:10" x14ac:dyDescent="0.35">
      <c r="A47" s="2" t="s">
        <v>35</v>
      </c>
      <c r="B47" s="2" t="s">
        <v>22</v>
      </c>
      <c r="C47" s="2" t="s">
        <v>36</v>
      </c>
      <c r="D47" s="2" t="s">
        <v>17</v>
      </c>
      <c r="E47" s="2">
        <v>47</v>
      </c>
      <c r="F47" s="2">
        <v>47</v>
      </c>
      <c r="G47" s="2">
        <v>0</v>
      </c>
      <c r="H47" s="2" t="s">
        <v>18</v>
      </c>
      <c r="I47" s="2">
        <v>0.560677300032693</v>
      </c>
      <c r="J47" s="3" t="str">
        <f t="shared" si="0"/>
        <v>consistent</v>
      </c>
    </row>
    <row r="48" spans="1:10" hidden="1" x14ac:dyDescent="0.35">
      <c r="A48" s="2" t="s">
        <v>9</v>
      </c>
      <c r="B48" s="2" t="s">
        <v>10</v>
      </c>
      <c r="C48" s="2" t="s">
        <v>37</v>
      </c>
      <c r="D48" s="2" t="s">
        <v>17</v>
      </c>
      <c r="E48" s="2">
        <v>48</v>
      </c>
      <c r="F48" s="2">
        <v>48</v>
      </c>
      <c r="G48" s="2">
        <v>0</v>
      </c>
      <c r="H48" s="2" t="s">
        <v>18</v>
      </c>
      <c r="I48" s="2">
        <v>0.67977859999518797</v>
      </c>
      <c r="J48" s="3" t="str">
        <f t="shared" si="0"/>
        <v>neutral</v>
      </c>
    </row>
    <row r="49" spans="1:10" x14ac:dyDescent="0.35">
      <c r="A49" s="2" t="s">
        <v>30</v>
      </c>
      <c r="B49" s="2" t="s">
        <v>22</v>
      </c>
      <c r="C49" s="2" t="s">
        <v>31</v>
      </c>
      <c r="D49" s="2" t="s">
        <v>17</v>
      </c>
      <c r="E49" s="2">
        <v>49</v>
      </c>
      <c r="F49" s="2">
        <v>49</v>
      </c>
      <c r="G49" s="2">
        <v>0</v>
      </c>
      <c r="H49" s="2" t="s">
        <v>18</v>
      </c>
      <c r="I49" s="2">
        <v>0.48028259997954498</v>
      </c>
      <c r="J49" s="3" t="str">
        <f t="shared" si="0"/>
        <v>consistent</v>
      </c>
    </row>
    <row r="50" spans="1:10" x14ac:dyDescent="0.35">
      <c r="A50" s="2" t="s">
        <v>43</v>
      </c>
      <c r="B50" s="2" t="s">
        <v>15</v>
      </c>
      <c r="C50" s="2" t="s">
        <v>44</v>
      </c>
      <c r="D50" s="2" t="s">
        <v>12</v>
      </c>
      <c r="E50" s="2">
        <v>50</v>
      </c>
      <c r="F50" s="2">
        <v>50</v>
      </c>
      <c r="G50" s="2">
        <v>0</v>
      </c>
      <c r="H50" s="2" t="s">
        <v>13</v>
      </c>
      <c r="I50" s="2">
        <v>0.57869580003898502</v>
      </c>
      <c r="J50" s="3" t="str">
        <f t="shared" si="0"/>
        <v>consistent</v>
      </c>
    </row>
    <row r="51" spans="1:10" x14ac:dyDescent="0.35">
      <c r="A51" s="2" t="s">
        <v>34</v>
      </c>
      <c r="B51" s="2" t="s">
        <v>15</v>
      </c>
      <c r="C51" s="2" t="s">
        <v>37</v>
      </c>
      <c r="D51" s="2" t="s">
        <v>17</v>
      </c>
      <c r="E51" s="2">
        <v>51</v>
      </c>
      <c r="F51" s="2">
        <v>51</v>
      </c>
      <c r="G51" s="2">
        <v>0</v>
      </c>
      <c r="H51" s="2" t="s">
        <v>18</v>
      </c>
      <c r="I51" s="2">
        <v>0.60758849995909203</v>
      </c>
      <c r="J51" s="3" t="str">
        <f t="shared" si="0"/>
        <v>inconsistent</v>
      </c>
    </row>
    <row r="52" spans="1:10" x14ac:dyDescent="0.35">
      <c r="A52" s="2" t="s">
        <v>50</v>
      </c>
      <c r="B52" s="2" t="s">
        <v>15</v>
      </c>
      <c r="C52" s="2" t="s">
        <v>20</v>
      </c>
      <c r="D52" s="2" t="s">
        <v>17</v>
      </c>
      <c r="E52" s="2">
        <v>52</v>
      </c>
      <c r="F52" s="2">
        <v>52</v>
      </c>
      <c r="G52" s="2">
        <v>0</v>
      </c>
      <c r="H52" s="2" t="s">
        <v>18</v>
      </c>
      <c r="I52" s="2">
        <v>0.70390389999374703</v>
      </c>
      <c r="J52" s="3" t="str">
        <f t="shared" si="0"/>
        <v>inconsistent</v>
      </c>
    </row>
    <row r="53" spans="1:10" hidden="1" x14ac:dyDescent="0.35">
      <c r="A53" s="2" t="s">
        <v>51</v>
      </c>
      <c r="B53" s="2" t="s">
        <v>10</v>
      </c>
      <c r="C53" s="2" t="s">
        <v>49</v>
      </c>
      <c r="D53" s="2" t="s">
        <v>12</v>
      </c>
      <c r="E53" s="2">
        <v>53</v>
      </c>
      <c r="F53" s="2">
        <v>53</v>
      </c>
      <c r="G53" s="2">
        <v>0</v>
      </c>
      <c r="H53" s="2" t="s">
        <v>13</v>
      </c>
      <c r="I53" s="2">
        <v>0.62769319996004902</v>
      </c>
      <c r="J53" s="3" t="str">
        <f t="shared" si="0"/>
        <v>neutral</v>
      </c>
    </row>
    <row r="54" spans="1:10" x14ac:dyDescent="0.35">
      <c r="A54" s="2" t="s">
        <v>61</v>
      </c>
      <c r="B54" s="2" t="s">
        <v>22</v>
      </c>
      <c r="C54" s="2" t="s">
        <v>44</v>
      </c>
      <c r="D54" s="2" t="s">
        <v>12</v>
      </c>
      <c r="E54" s="2">
        <v>54</v>
      </c>
      <c r="F54" s="2">
        <v>0</v>
      </c>
      <c r="G54" s="2">
        <v>1</v>
      </c>
      <c r="H54" s="2" t="s">
        <v>13</v>
      </c>
      <c r="I54" s="2">
        <v>0.69021849997807205</v>
      </c>
      <c r="J54" s="3" t="str">
        <f t="shared" si="0"/>
        <v>inconsistent</v>
      </c>
    </row>
    <row r="55" spans="1:10" x14ac:dyDescent="0.35">
      <c r="A55" s="2" t="s">
        <v>43</v>
      </c>
      <c r="B55" s="2" t="s">
        <v>15</v>
      </c>
      <c r="C55" s="2" t="s">
        <v>60</v>
      </c>
      <c r="D55" s="2" t="s">
        <v>17</v>
      </c>
      <c r="E55" s="2">
        <v>55</v>
      </c>
      <c r="F55" s="2">
        <v>1</v>
      </c>
      <c r="G55" s="2">
        <v>1</v>
      </c>
      <c r="H55" s="2" t="s">
        <v>18</v>
      </c>
      <c r="I55" s="2">
        <v>0.88016719999723103</v>
      </c>
      <c r="J55" s="3" t="str">
        <f t="shared" si="0"/>
        <v>inconsistent</v>
      </c>
    </row>
    <row r="56" spans="1:10" hidden="1" x14ac:dyDescent="0.35">
      <c r="A56" s="2" t="s">
        <v>23</v>
      </c>
      <c r="B56" s="2" t="s">
        <v>10</v>
      </c>
      <c r="C56" s="2" t="s">
        <v>24</v>
      </c>
      <c r="D56" s="2" t="s">
        <v>12</v>
      </c>
      <c r="E56" s="2">
        <v>56</v>
      </c>
      <c r="F56" s="2">
        <v>2</v>
      </c>
      <c r="G56" s="2">
        <v>1</v>
      </c>
      <c r="H56" s="2" t="s">
        <v>13</v>
      </c>
      <c r="I56" s="2">
        <v>0.72665400005644099</v>
      </c>
      <c r="J56" s="3" t="str">
        <f t="shared" si="0"/>
        <v>neutral</v>
      </c>
    </row>
    <row r="57" spans="1:10" x14ac:dyDescent="0.35">
      <c r="A57" s="2" t="s">
        <v>34</v>
      </c>
      <c r="B57" s="2" t="s">
        <v>15</v>
      </c>
      <c r="C57" s="2" t="s">
        <v>37</v>
      </c>
      <c r="D57" s="2" t="s">
        <v>17</v>
      </c>
      <c r="E57" s="2">
        <v>57</v>
      </c>
      <c r="F57" s="2">
        <v>3</v>
      </c>
      <c r="G57" s="2">
        <v>1</v>
      </c>
      <c r="H57" s="2" t="s">
        <v>18</v>
      </c>
      <c r="I57" s="2">
        <v>0.737870799959637</v>
      </c>
      <c r="J57" s="3" t="str">
        <f t="shared" si="0"/>
        <v>inconsistent</v>
      </c>
    </row>
    <row r="58" spans="1:10" hidden="1" x14ac:dyDescent="0.35">
      <c r="A58" s="2" t="s">
        <v>45</v>
      </c>
      <c r="B58" s="2" t="s">
        <v>10</v>
      </c>
      <c r="C58" s="2" t="s">
        <v>31</v>
      </c>
      <c r="D58" s="2" t="s">
        <v>17</v>
      </c>
      <c r="E58" s="2">
        <v>58</v>
      </c>
      <c r="F58" s="2">
        <v>4</v>
      </c>
      <c r="G58" s="2">
        <v>1</v>
      </c>
      <c r="H58" s="2" t="s">
        <v>18</v>
      </c>
      <c r="I58" s="2">
        <v>0.64966579998144802</v>
      </c>
      <c r="J58" s="3" t="str">
        <f t="shared" si="0"/>
        <v>neutral</v>
      </c>
    </row>
    <row r="59" spans="1:10" x14ac:dyDescent="0.35">
      <c r="A59" s="2" t="s">
        <v>35</v>
      </c>
      <c r="B59" s="2" t="s">
        <v>22</v>
      </c>
      <c r="C59" s="2" t="s">
        <v>36</v>
      </c>
      <c r="D59" s="2" t="s">
        <v>17</v>
      </c>
      <c r="E59" s="2">
        <v>59</v>
      </c>
      <c r="F59" s="2">
        <v>5</v>
      </c>
      <c r="G59" s="2">
        <v>1</v>
      </c>
      <c r="H59" s="2" t="s">
        <v>18</v>
      </c>
      <c r="I59" s="2">
        <v>0.46006690000649503</v>
      </c>
      <c r="J59" s="3" t="str">
        <f t="shared" si="0"/>
        <v>consistent</v>
      </c>
    </row>
    <row r="60" spans="1:10" hidden="1" x14ac:dyDescent="0.35">
      <c r="A60" s="2" t="s">
        <v>19</v>
      </c>
      <c r="B60" s="2" t="s">
        <v>10</v>
      </c>
      <c r="C60" s="2" t="s">
        <v>20</v>
      </c>
      <c r="D60" s="2" t="s">
        <v>17</v>
      </c>
      <c r="E60" s="2">
        <v>60</v>
      </c>
      <c r="F60" s="2">
        <v>6</v>
      </c>
      <c r="G60" s="2">
        <v>1</v>
      </c>
      <c r="H60" s="2" t="s">
        <v>18</v>
      </c>
      <c r="I60" s="2">
        <v>0.49261950002983201</v>
      </c>
      <c r="J60" s="3" t="str">
        <f t="shared" si="0"/>
        <v>neutral</v>
      </c>
    </row>
    <row r="61" spans="1:10" x14ac:dyDescent="0.35">
      <c r="A61" s="2" t="s">
        <v>32</v>
      </c>
      <c r="B61" s="2" t="s">
        <v>15</v>
      </c>
      <c r="C61" s="2" t="s">
        <v>33</v>
      </c>
      <c r="D61" s="2" t="s">
        <v>12</v>
      </c>
      <c r="E61" s="2">
        <v>61</v>
      </c>
      <c r="F61" s="2">
        <v>7</v>
      </c>
      <c r="G61" s="2">
        <v>1</v>
      </c>
      <c r="H61" s="2" t="s">
        <v>13</v>
      </c>
      <c r="I61" s="2">
        <v>0.51398590003373101</v>
      </c>
      <c r="J61" s="3" t="str">
        <f t="shared" si="0"/>
        <v>consistent</v>
      </c>
    </row>
    <row r="62" spans="1:10" x14ac:dyDescent="0.35">
      <c r="A62" s="2" t="s">
        <v>62</v>
      </c>
      <c r="B62" s="2" t="s">
        <v>15</v>
      </c>
      <c r="C62" s="2" t="s">
        <v>36</v>
      </c>
      <c r="D62" s="2" t="s">
        <v>17</v>
      </c>
      <c r="E62" s="2">
        <v>62</v>
      </c>
      <c r="F62" s="2">
        <v>8</v>
      </c>
      <c r="G62" s="2">
        <v>1</v>
      </c>
      <c r="H62" s="2" t="s">
        <v>18</v>
      </c>
      <c r="I62" s="2">
        <v>0.48835830000461999</v>
      </c>
      <c r="J62" s="3" t="str">
        <f t="shared" si="0"/>
        <v>inconsistent</v>
      </c>
    </row>
    <row r="63" spans="1:10" hidden="1" x14ac:dyDescent="0.35">
      <c r="A63" s="2" t="s">
        <v>54</v>
      </c>
      <c r="B63" s="2" t="s">
        <v>10</v>
      </c>
      <c r="C63" s="2" t="s">
        <v>44</v>
      </c>
      <c r="D63" s="2" t="s">
        <v>12</v>
      </c>
      <c r="E63" s="2">
        <v>63</v>
      </c>
      <c r="F63" s="2">
        <v>9</v>
      </c>
      <c r="G63" s="2">
        <v>1</v>
      </c>
      <c r="H63" s="2" t="s">
        <v>13</v>
      </c>
      <c r="I63" s="2">
        <v>0.54361870000138801</v>
      </c>
      <c r="J63" s="3" t="str">
        <f t="shared" si="0"/>
        <v>neutral</v>
      </c>
    </row>
    <row r="64" spans="1:10" hidden="1" x14ac:dyDescent="0.35">
      <c r="A64" s="2" t="s">
        <v>54</v>
      </c>
      <c r="B64" s="2" t="s">
        <v>10</v>
      </c>
      <c r="C64" s="2" t="s">
        <v>60</v>
      </c>
      <c r="D64" s="2" t="s">
        <v>17</v>
      </c>
      <c r="E64" s="2">
        <v>64</v>
      </c>
      <c r="F64" s="2">
        <v>10</v>
      </c>
      <c r="G64" s="2">
        <v>1</v>
      </c>
      <c r="H64" s="2" t="s">
        <v>18</v>
      </c>
      <c r="I64" s="2">
        <v>0.37429720000363798</v>
      </c>
      <c r="J64" s="3" t="str">
        <f t="shared" si="0"/>
        <v>neutral</v>
      </c>
    </row>
    <row r="65" spans="1:10" x14ac:dyDescent="0.35">
      <c r="A65" s="2" t="s">
        <v>57</v>
      </c>
      <c r="B65" s="2" t="s">
        <v>22</v>
      </c>
      <c r="C65" s="2" t="s">
        <v>53</v>
      </c>
      <c r="D65" s="2" t="s">
        <v>17</v>
      </c>
      <c r="E65" s="2">
        <v>65</v>
      </c>
      <c r="F65" s="2">
        <v>11</v>
      </c>
      <c r="G65" s="2">
        <v>1</v>
      </c>
      <c r="H65" s="2" t="s">
        <v>18</v>
      </c>
      <c r="I65" s="2">
        <v>0.61767569999210503</v>
      </c>
      <c r="J65" s="3" t="str">
        <f t="shared" si="0"/>
        <v>consistent</v>
      </c>
    </row>
    <row r="66" spans="1:10" hidden="1" x14ac:dyDescent="0.35">
      <c r="A66" s="2" t="s">
        <v>23</v>
      </c>
      <c r="B66" s="2" t="s">
        <v>10</v>
      </c>
      <c r="C66" s="2" t="s">
        <v>16</v>
      </c>
      <c r="D66" s="2" t="s">
        <v>17</v>
      </c>
      <c r="E66" s="2">
        <v>66</v>
      </c>
      <c r="F66" s="2">
        <v>12</v>
      </c>
      <c r="G66" s="2">
        <v>1</v>
      </c>
      <c r="H66" s="2" t="s">
        <v>18</v>
      </c>
      <c r="I66" s="2">
        <v>0.56740200001513497</v>
      </c>
      <c r="J66" s="3" t="str">
        <f t="shared" si="0"/>
        <v>neutral</v>
      </c>
    </row>
    <row r="67" spans="1:10" x14ac:dyDescent="0.35">
      <c r="A67" s="2" t="s">
        <v>46</v>
      </c>
      <c r="B67" s="2" t="s">
        <v>15</v>
      </c>
      <c r="C67" s="2" t="s">
        <v>39</v>
      </c>
      <c r="D67" s="2" t="s">
        <v>17</v>
      </c>
      <c r="E67" s="2">
        <v>67</v>
      </c>
      <c r="F67" s="2">
        <v>13</v>
      </c>
      <c r="G67" s="2">
        <v>1</v>
      </c>
      <c r="H67" s="2" t="s">
        <v>18</v>
      </c>
      <c r="I67" s="2">
        <v>0.66943529999116402</v>
      </c>
      <c r="J67" s="3" t="str">
        <f t="shared" si="0"/>
        <v>inconsistent</v>
      </c>
    </row>
    <row r="68" spans="1:10" hidden="1" x14ac:dyDescent="0.35">
      <c r="A68" s="2" t="s">
        <v>19</v>
      </c>
      <c r="B68" s="2" t="s">
        <v>10</v>
      </c>
      <c r="C68" s="2" t="s">
        <v>59</v>
      </c>
      <c r="D68" s="2" t="s">
        <v>12</v>
      </c>
      <c r="E68" s="2">
        <v>68</v>
      </c>
      <c r="F68" s="2">
        <v>14</v>
      </c>
      <c r="G68" s="2">
        <v>1</v>
      </c>
      <c r="H68" s="2" t="s">
        <v>13</v>
      </c>
      <c r="I68" s="2">
        <v>0.803732500004116</v>
      </c>
      <c r="J68" s="3" t="str">
        <f t="shared" ref="J68:J106" si="1">IF(OR(AND(B68="masculine",D68="male"), AND(B68="feminine",D68="female")), "consistent",
IF(OR(AND(B68="masculine",D68="female"), AND(B68="feminine",D68="male")), "inconsistent","neutral"))</f>
        <v>neutral</v>
      </c>
    </row>
    <row r="69" spans="1:10" x14ac:dyDescent="0.35">
      <c r="A69" s="2" t="s">
        <v>34</v>
      </c>
      <c r="B69" s="2" t="s">
        <v>15</v>
      </c>
      <c r="C69" s="2" t="s">
        <v>11</v>
      </c>
      <c r="D69" s="2" t="s">
        <v>12</v>
      </c>
      <c r="E69" s="2">
        <v>69</v>
      </c>
      <c r="F69" s="2">
        <v>15</v>
      </c>
      <c r="G69" s="2">
        <v>1</v>
      </c>
      <c r="H69" s="2" t="s">
        <v>18</v>
      </c>
      <c r="I69" s="2">
        <v>0.59065159998135597</v>
      </c>
      <c r="J69" s="3" t="str">
        <f t="shared" si="1"/>
        <v>consistent</v>
      </c>
    </row>
    <row r="70" spans="1:10" x14ac:dyDescent="0.35">
      <c r="A70" s="2" t="s">
        <v>28</v>
      </c>
      <c r="B70" s="2" t="s">
        <v>15</v>
      </c>
      <c r="C70" s="2" t="s">
        <v>27</v>
      </c>
      <c r="D70" s="2" t="s">
        <v>17</v>
      </c>
      <c r="E70" s="2">
        <v>70</v>
      </c>
      <c r="F70" s="2">
        <v>16</v>
      </c>
      <c r="G70" s="2">
        <v>1</v>
      </c>
      <c r="H70" s="2" t="s">
        <v>18</v>
      </c>
      <c r="I70" s="2">
        <v>1.3949012000230101</v>
      </c>
      <c r="J70" s="3" t="str">
        <f t="shared" si="1"/>
        <v>inconsistent</v>
      </c>
    </row>
    <row r="71" spans="1:10" x14ac:dyDescent="0.35">
      <c r="A71" s="2" t="s">
        <v>32</v>
      </c>
      <c r="B71" s="2" t="s">
        <v>15</v>
      </c>
      <c r="C71" s="2" t="s">
        <v>31</v>
      </c>
      <c r="D71" s="2" t="s">
        <v>17</v>
      </c>
      <c r="E71" s="2">
        <v>71</v>
      </c>
      <c r="F71" s="2">
        <v>17</v>
      </c>
      <c r="G71" s="2">
        <v>1</v>
      </c>
      <c r="H71" s="2" t="s">
        <v>18</v>
      </c>
      <c r="I71" s="2">
        <v>0.57999279996147302</v>
      </c>
      <c r="J71" s="3" t="str">
        <f t="shared" si="1"/>
        <v>inconsistent</v>
      </c>
    </row>
    <row r="72" spans="1:10" x14ac:dyDescent="0.35">
      <c r="A72" s="2" t="s">
        <v>28</v>
      </c>
      <c r="B72" s="2" t="s">
        <v>15</v>
      </c>
      <c r="C72" s="2" t="s">
        <v>29</v>
      </c>
      <c r="D72" s="2" t="s">
        <v>12</v>
      </c>
      <c r="E72" s="2">
        <v>72</v>
      </c>
      <c r="F72" s="2">
        <v>18</v>
      </c>
      <c r="G72" s="2">
        <v>1</v>
      </c>
      <c r="H72" s="2" t="s">
        <v>13</v>
      </c>
      <c r="I72" s="2">
        <v>0.59331330005079497</v>
      </c>
      <c r="J72" s="3" t="str">
        <f t="shared" si="1"/>
        <v>consistent</v>
      </c>
    </row>
    <row r="73" spans="1:10" x14ac:dyDescent="0.35">
      <c r="A73" s="2" t="s">
        <v>25</v>
      </c>
      <c r="B73" s="2" t="s">
        <v>22</v>
      </c>
      <c r="C73" s="2" t="s">
        <v>16</v>
      </c>
      <c r="D73" s="2" t="s">
        <v>17</v>
      </c>
      <c r="E73" s="2">
        <v>73</v>
      </c>
      <c r="F73" s="2">
        <v>19</v>
      </c>
      <c r="G73" s="2">
        <v>1</v>
      </c>
      <c r="H73" s="2" t="s">
        <v>18</v>
      </c>
      <c r="I73" s="2">
        <v>0.59598669997649201</v>
      </c>
      <c r="J73" s="3" t="str">
        <f t="shared" si="1"/>
        <v>consistent</v>
      </c>
    </row>
    <row r="74" spans="1:10" x14ac:dyDescent="0.35">
      <c r="A74" s="2" t="s">
        <v>40</v>
      </c>
      <c r="B74" s="2" t="s">
        <v>22</v>
      </c>
      <c r="C74" s="2" t="s">
        <v>41</v>
      </c>
      <c r="D74" s="2" t="s">
        <v>12</v>
      </c>
      <c r="E74" s="2">
        <v>74</v>
      </c>
      <c r="F74" s="2">
        <v>20</v>
      </c>
      <c r="G74" s="2">
        <v>1</v>
      </c>
      <c r="H74" s="2" t="s">
        <v>13</v>
      </c>
      <c r="I74" s="2">
        <v>1.1480847999919199</v>
      </c>
      <c r="J74" s="3" t="str">
        <f t="shared" si="1"/>
        <v>inconsistent</v>
      </c>
    </row>
    <row r="75" spans="1:10" hidden="1" x14ac:dyDescent="0.35">
      <c r="A75" s="2" t="s">
        <v>58</v>
      </c>
      <c r="B75" s="2" t="s">
        <v>10</v>
      </c>
      <c r="C75" s="2" t="s">
        <v>42</v>
      </c>
      <c r="D75" s="2" t="s">
        <v>12</v>
      </c>
      <c r="E75" s="2">
        <v>75</v>
      </c>
      <c r="F75" s="2">
        <v>21</v>
      </c>
      <c r="G75" s="2">
        <v>1</v>
      </c>
      <c r="H75" s="2" t="s">
        <v>13</v>
      </c>
      <c r="I75" s="2">
        <v>1.03256309998687</v>
      </c>
      <c r="J75" s="3" t="str">
        <f t="shared" si="1"/>
        <v>neutral</v>
      </c>
    </row>
    <row r="76" spans="1:10" x14ac:dyDescent="0.35">
      <c r="A76" s="2" t="s">
        <v>40</v>
      </c>
      <c r="B76" s="2" t="s">
        <v>22</v>
      </c>
      <c r="C76" s="2" t="s">
        <v>39</v>
      </c>
      <c r="D76" s="2" t="s">
        <v>17</v>
      </c>
      <c r="E76" s="2">
        <v>76</v>
      </c>
      <c r="F76" s="2">
        <v>22</v>
      </c>
      <c r="G76" s="2">
        <v>1</v>
      </c>
      <c r="H76" s="2" t="s">
        <v>18</v>
      </c>
      <c r="I76" s="2">
        <v>0.60447090002708104</v>
      </c>
      <c r="J76" s="3" t="str">
        <f t="shared" si="1"/>
        <v>consistent</v>
      </c>
    </row>
    <row r="77" spans="1:10" x14ac:dyDescent="0.35">
      <c r="A77" s="2" t="s">
        <v>26</v>
      </c>
      <c r="B77" s="2" t="s">
        <v>22</v>
      </c>
      <c r="C77" s="2" t="s">
        <v>27</v>
      </c>
      <c r="D77" s="2" t="s">
        <v>17</v>
      </c>
      <c r="E77" s="2">
        <v>77</v>
      </c>
      <c r="F77" s="2">
        <v>23</v>
      </c>
      <c r="G77" s="2">
        <v>1</v>
      </c>
      <c r="H77" s="2" t="s">
        <v>18</v>
      </c>
      <c r="I77" s="2">
        <v>0.60933389997808196</v>
      </c>
      <c r="J77" s="3" t="str">
        <f t="shared" si="1"/>
        <v>consistent</v>
      </c>
    </row>
    <row r="78" spans="1:10" x14ac:dyDescent="0.35">
      <c r="A78" s="2" t="s">
        <v>48</v>
      </c>
      <c r="B78" s="2" t="s">
        <v>15</v>
      </c>
      <c r="C78" s="2" t="s">
        <v>56</v>
      </c>
      <c r="D78" s="2" t="s">
        <v>17</v>
      </c>
      <c r="E78" s="2">
        <v>78</v>
      </c>
      <c r="F78" s="2">
        <v>24</v>
      </c>
      <c r="G78" s="2">
        <v>1</v>
      </c>
      <c r="H78" s="2" t="s">
        <v>18</v>
      </c>
      <c r="I78" s="2">
        <v>0.94104480004170898</v>
      </c>
      <c r="J78" s="3" t="str">
        <f t="shared" si="1"/>
        <v>inconsistent</v>
      </c>
    </row>
    <row r="79" spans="1:10" x14ac:dyDescent="0.35">
      <c r="A79" s="2" t="s">
        <v>30</v>
      </c>
      <c r="B79" s="2" t="s">
        <v>22</v>
      </c>
      <c r="C79" s="2" t="s">
        <v>33</v>
      </c>
      <c r="D79" s="2" t="s">
        <v>12</v>
      </c>
      <c r="E79" s="2">
        <v>79</v>
      </c>
      <c r="F79" s="2">
        <v>25</v>
      </c>
      <c r="G79" s="2">
        <v>1</v>
      </c>
      <c r="H79" s="2" t="s">
        <v>13</v>
      </c>
      <c r="I79" s="2">
        <v>0.78704570000991203</v>
      </c>
      <c r="J79" s="3" t="str">
        <f t="shared" si="1"/>
        <v>inconsistent</v>
      </c>
    </row>
    <row r="80" spans="1:10" x14ac:dyDescent="0.35">
      <c r="A80" s="2" t="s">
        <v>43</v>
      </c>
      <c r="B80" s="2" t="s">
        <v>15</v>
      </c>
      <c r="C80" s="2" t="s">
        <v>44</v>
      </c>
      <c r="D80" s="2" t="s">
        <v>12</v>
      </c>
      <c r="E80" s="2">
        <v>80</v>
      </c>
      <c r="F80" s="2">
        <v>26</v>
      </c>
      <c r="G80" s="2">
        <v>1</v>
      </c>
      <c r="H80" s="2" t="s">
        <v>13</v>
      </c>
      <c r="I80" s="2">
        <v>0.60066880000522305</v>
      </c>
      <c r="J80" s="3" t="str">
        <f t="shared" si="1"/>
        <v>consistent</v>
      </c>
    </row>
    <row r="81" spans="1:10" x14ac:dyDescent="0.35">
      <c r="A81" s="2" t="s">
        <v>21</v>
      </c>
      <c r="B81" s="2" t="s">
        <v>22</v>
      </c>
      <c r="C81" s="2" t="s">
        <v>20</v>
      </c>
      <c r="D81" s="2" t="s">
        <v>17</v>
      </c>
      <c r="E81" s="2">
        <v>81</v>
      </c>
      <c r="F81" s="2">
        <v>27</v>
      </c>
      <c r="G81" s="2">
        <v>1</v>
      </c>
      <c r="H81" s="2" t="s">
        <v>18</v>
      </c>
      <c r="I81" s="2">
        <v>0.86208699998678595</v>
      </c>
      <c r="J81" s="3" t="str">
        <f t="shared" si="1"/>
        <v>consistent</v>
      </c>
    </row>
    <row r="82" spans="1:10" x14ac:dyDescent="0.35">
      <c r="A82" s="2" t="s">
        <v>57</v>
      </c>
      <c r="B82" s="2" t="s">
        <v>22</v>
      </c>
      <c r="C82" s="2" t="s">
        <v>55</v>
      </c>
      <c r="D82" s="2" t="s">
        <v>12</v>
      </c>
      <c r="E82" s="2">
        <v>82</v>
      </c>
      <c r="F82" s="2">
        <v>28</v>
      </c>
      <c r="G82" s="2">
        <v>1</v>
      </c>
      <c r="H82" s="2" t="s">
        <v>13</v>
      </c>
      <c r="I82" s="2">
        <v>0.60466389998327896</v>
      </c>
      <c r="J82" s="3" t="str">
        <f t="shared" si="1"/>
        <v>inconsistent</v>
      </c>
    </row>
    <row r="83" spans="1:10" hidden="1" x14ac:dyDescent="0.35">
      <c r="A83" s="2" t="s">
        <v>38</v>
      </c>
      <c r="B83" s="2" t="s">
        <v>10</v>
      </c>
      <c r="C83" s="2" t="s">
        <v>39</v>
      </c>
      <c r="D83" s="2" t="s">
        <v>17</v>
      </c>
      <c r="E83" s="2">
        <v>83</v>
      </c>
      <c r="F83" s="2">
        <v>29</v>
      </c>
      <c r="G83" s="2">
        <v>1</v>
      </c>
      <c r="H83" s="2" t="s">
        <v>18</v>
      </c>
      <c r="I83" s="2">
        <v>0.54514010000275404</v>
      </c>
      <c r="J83" s="3" t="str">
        <f t="shared" si="1"/>
        <v>neutral</v>
      </c>
    </row>
    <row r="84" spans="1:10" x14ac:dyDescent="0.35">
      <c r="A84" s="2" t="s">
        <v>14</v>
      </c>
      <c r="B84" s="2" t="s">
        <v>15</v>
      </c>
      <c r="C84" s="2" t="s">
        <v>16</v>
      </c>
      <c r="D84" s="2" t="s">
        <v>17</v>
      </c>
      <c r="E84" s="2">
        <v>84</v>
      </c>
      <c r="F84" s="2">
        <v>30</v>
      </c>
      <c r="G84" s="2">
        <v>1</v>
      </c>
      <c r="H84" s="2" t="s">
        <v>18</v>
      </c>
      <c r="I84" s="2">
        <v>0.61710860003949997</v>
      </c>
      <c r="J84" s="3" t="str">
        <f t="shared" si="1"/>
        <v>inconsistent</v>
      </c>
    </row>
    <row r="85" spans="1:10" x14ac:dyDescent="0.35">
      <c r="A85" s="2" t="s">
        <v>48</v>
      </c>
      <c r="B85" s="2" t="s">
        <v>15</v>
      </c>
      <c r="C85" s="2" t="s">
        <v>49</v>
      </c>
      <c r="D85" s="2" t="s">
        <v>12</v>
      </c>
      <c r="E85" s="2">
        <v>85</v>
      </c>
      <c r="F85" s="2">
        <v>31</v>
      </c>
      <c r="G85" s="2">
        <v>1</v>
      </c>
      <c r="H85" s="2" t="s">
        <v>13</v>
      </c>
      <c r="I85" s="2">
        <v>0.84215470001799897</v>
      </c>
      <c r="J85" s="3" t="str">
        <f t="shared" si="1"/>
        <v>consistent</v>
      </c>
    </row>
    <row r="86" spans="1:10" x14ac:dyDescent="0.35">
      <c r="A86" s="2" t="s">
        <v>52</v>
      </c>
      <c r="B86" s="2" t="s">
        <v>15</v>
      </c>
      <c r="C86" s="2" t="s">
        <v>55</v>
      </c>
      <c r="D86" s="2" t="s">
        <v>12</v>
      </c>
      <c r="E86" s="2">
        <v>86</v>
      </c>
      <c r="F86" s="2">
        <v>32</v>
      </c>
      <c r="G86" s="2">
        <v>1</v>
      </c>
      <c r="H86" s="2" t="s">
        <v>13</v>
      </c>
      <c r="I86" s="2">
        <v>0.47427700000116602</v>
      </c>
      <c r="J86" s="3" t="str">
        <f t="shared" si="1"/>
        <v>consistent</v>
      </c>
    </row>
    <row r="87" spans="1:10" x14ac:dyDescent="0.35">
      <c r="A87" s="2" t="s">
        <v>30</v>
      </c>
      <c r="B87" s="2" t="s">
        <v>22</v>
      </c>
      <c r="C87" s="2" t="s">
        <v>31</v>
      </c>
      <c r="D87" s="2" t="s">
        <v>17</v>
      </c>
      <c r="E87" s="2">
        <v>87</v>
      </c>
      <c r="F87" s="2">
        <v>33</v>
      </c>
      <c r="G87" s="2">
        <v>1</v>
      </c>
      <c r="H87" s="2" t="s">
        <v>18</v>
      </c>
      <c r="I87" s="2">
        <v>0.41510649997508098</v>
      </c>
      <c r="J87" s="3" t="str">
        <f t="shared" si="1"/>
        <v>consistent</v>
      </c>
    </row>
    <row r="88" spans="1:10" hidden="1" x14ac:dyDescent="0.35">
      <c r="A88" s="2" t="s">
        <v>45</v>
      </c>
      <c r="B88" s="2" t="s">
        <v>10</v>
      </c>
      <c r="C88" s="2" t="s">
        <v>33</v>
      </c>
      <c r="D88" s="2" t="s">
        <v>12</v>
      </c>
      <c r="E88" s="2">
        <v>88</v>
      </c>
      <c r="F88" s="2">
        <v>34</v>
      </c>
      <c r="G88" s="2">
        <v>1</v>
      </c>
      <c r="H88" s="2" t="s">
        <v>13</v>
      </c>
      <c r="I88" s="2">
        <v>0.38211190002039003</v>
      </c>
      <c r="J88" s="3" t="str">
        <f t="shared" si="1"/>
        <v>neutral</v>
      </c>
    </row>
    <row r="89" spans="1:10" hidden="1" x14ac:dyDescent="0.35">
      <c r="A89" s="2" t="s">
        <v>9</v>
      </c>
      <c r="B89" s="2" t="s">
        <v>10</v>
      </c>
      <c r="C89" s="2" t="s">
        <v>37</v>
      </c>
      <c r="D89" s="2" t="s">
        <v>17</v>
      </c>
      <c r="E89" s="2">
        <v>89</v>
      </c>
      <c r="F89" s="2">
        <v>35</v>
      </c>
      <c r="G89" s="2">
        <v>1</v>
      </c>
      <c r="H89" s="2" t="s">
        <v>18</v>
      </c>
      <c r="I89" s="2">
        <v>0.87350470002274905</v>
      </c>
      <c r="J89" s="3" t="str">
        <f t="shared" si="1"/>
        <v>neutral</v>
      </c>
    </row>
    <row r="90" spans="1:10" x14ac:dyDescent="0.35">
      <c r="A90" s="2" t="s">
        <v>21</v>
      </c>
      <c r="B90" s="2" t="s">
        <v>22</v>
      </c>
      <c r="C90" s="2" t="s">
        <v>59</v>
      </c>
      <c r="D90" s="2" t="s">
        <v>12</v>
      </c>
      <c r="E90" s="2">
        <v>90</v>
      </c>
      <c r="F90" s="2">
        <v>36</v>
      </c>
      <c r="G90" s="2">
        <v>1</v>
      </c>
      <c r="H90" s="2" t="s">
        <v>13</v>
      </c>
      <c r="I90" s="2">
        <v>0.50860840000677798</v>
      </c>
      <c r="J90" s="3" t="str">
        <f t="shared" si="1"/>
        <v>inconsistent</v>
      </c>
    </row>
    <row r="91" spans="1:10" hidden="1" x14ac:dyDescent="0.35">
      <c r="A91" s="2" t="s">
        <v>9</v>
      </c>
      <c r="B91" s="2" t="s">
        <v>10</v>
      </c>
      <c r="C91" s="2" t="s">
        <v>11</v>
      </c>
      <c r="D91" s="2" t="s">
        <v>12</v>
      </c>
      <c r="E91" s="2">
        <v>92</v>
      </c>
      <c r="F91" s="2">
        <v>38</v>
      </c>
      <c r="G91" s="2">
        <v>1</v>
      </c>
      <c r="H91" s="2" t="s">
        <v>13</v>
      </c>
      <c r="I91" s="2">
        <v>0.72595130000263397</v>
      </c>
      <c r="J91" s="3" t="str">
        <f t="shared" si="1"/>
        <v>neutral</v>
      </c>
    </row>
    <row r="92" spans="1:10" x14ac:dyDescent="0.35">
      <c r="A92" s="2" t="s">
        <v>47</v>
      </c>
      <c r="B92" s="2" t="s">
        <v>22</v>
      </c>
      <c r="C92" s="2" t="s">
        <v>37</v>
      </c>
      <c r="D92" s="2" t="s">
        <v>17</v>
      </c>
      <c r="E92" s="2">
        <v>93</v>
      </c>
      <c r="F92" s="2">
        <v>39</v>
      </c>
      <c r="G92" s="2">
        <v>1</v>
      </c>
      <c r="H92" s="2" t="s">
        <v>18</v>
      </c>
      <c r="I92" s="2">
        <v>0.54006770002888504</v>
      </c>
      <c r="J92" s="3" t="str">
        <f t="shared" si="1"/>
        <v>consistent</v>
      </c>
    </row>
    <row r="93" spans="1:10" x14ac:dyDescent="0.35">
      <c r="A93" s="2" t="s">
        <v>25</v>
      </c>
      <c r="B93" s="2" t="s">
        <v>22</v>
      </c>
      <c r="C93" s="2" t="s">
        <v>24</v>
      </c>
      <c r="D93" s="2" t="s">
        <v>12</v>
      </c>
      <c r="E93" s="2">
        <v>94</v>
      </c>
      <c r="F93" s="2">
        <v>40</v>
      </c>
      <c r="G93" s="2">
        <v>1</v>
      </c>
      <c r="H93" s="2" t="s">
        <v>13</v>
      </c>
      <c r="I93" s="2">
        <v>0.691809999989345</v>
      </c>
      <c r="J93" s="3" t="str">
        <f t="shared" si="1"/>
        <v>inconsistent</v>
      </c>
    </row>
    <row r="94" spans="1:10" x14ac:dyDescent="0.35">
      <c r="A94" s="2" t="s">
        <v>46</v>
      </c>
      <c r="B94" s="2" t="s">
        <v>15</v>
      </c>
      <c r="C94" s="2" t="s">
        <v>41</v>
      </c>
      <c r="D94" s="2" t="s">
        <v>12</v>
      </c>
      <c r="E94" s="2">
        <v>95</v>
      </c>
      <c r="F94" s="2">
        <v>41</v>
      </c>
      <c r="G94" s="2">
        <v>1</v>
      </c>
      <c r="H94" s="2" t="s">
        <v>13</v>
      </c>
      <c r="I94" s="2">
        <v>0.64776520000305005</v>
      </c>
      <c r="J94" s="3" t="str">
        <f t="shared" si="1"/>
        <v>consistent</v>
      </c>
    </row>
    <row r="95" spans="1:10" x14ac:dyDescent="0.35">
      <c r="A95" s="2" t="s">
        <v>61</v>
      </c>
      <c r="B95" s="2" t="s">
        <v>22</v>
      </c>
      <c r="C95" s="2" t="s">
        <v>60</v>
      </c>
      <c r="D95" s="2" t="s">
        <v>17</v>
      </c>
      <c r="E95" s="2">
        <v>96</v>
      </c>
      <c r="F95" s="2">
        <v>42</v>
      </c>
      <c r="G95" s="2">
        <v>1</v>
      </c>
      <c r="H95" s="2" t="s">
        <v>18</v>
      </c>
      <c r="I95" s="2">
        <v>0.47081460000481401</v>
      </c>
      <c r="J95" s="3" t="str">
        <f t="shared" si="1"/>
        <v>consistent</v>
      </c>
    </row>
    <row r="96" spans="1:10" x14ac:dyDescent="0.35">
      <c r="A96" s="2" t="s">
        <v>47</v>
      </c>
      <c r="B96" s="2" t="s">
        <v>22</v>
      </c>
      <c r="C96" s="2" t="s">
        <v>11</v>
      </c>
      <c r="D96" s="2" t="s">
        <v>12</v>
      </c>
      <c r="E96" s="2">
        <v>97</v>
      </c>
      <c r="F96" s="2">
        <v>43</v>
      </c>
      <c r="G96" s="2">
        <v>1</v>
      </c>
      <c r="H96" s="2" t="s">
        <v>13</v>
      </c>
      <c r="I96" s="2">
        <v>0.59597809996921502</v>
      </c>
      <c r="J96" s="3" t="str">
        <f t="shared" si="1"/>
        <v>inconsistent</v>
      </c>
    </row>
    <row r="97" spans="1:10" hidden="1" x14ac:dyDescent="0.35">
      <c r="A97" s="2" t="s">
        <v>58</v>
      </c>
      <c r="B97" s="2" t="s">
        <v>10</v>
      </c>
      <c r="C97" s="2" t="s">
        <v>36</v>
      </c>
      <c r="D97" s="2" t="s">
        <v>17</v>
      </c>
      <c r="E97" s="2">
        <v>98</v>
      </c>
      <c r="F97" s="2">
        <v>44</v>
      </c>
      <c r="G97" s="2">
        <v>1</v>
      </c>
      <c r="H97" s="2" t="s">
        <v>18</v>
      </c>
      <c r="I97" s="2">
        <v>0.81384050002088704</v>
      </c>
      <c r="J97" s="3" t="str">
        <f t="shared" si="1"/>
        <v>neutral</v>
      </c>
    </row>
    <row r="98" spans="1:10" x14ac:dyDescent="0.35">
      <c r="A98" s="2" t="s">
        <v>52</v>
      </c>
      <c r="B98" s="2" t="s">
        <v>15</v>
      </c>
      <c r="C98" s="2" t="s">
        <v>53</v>
      </c>
      <c r="D98" s="2" t="s">
        <v>17</v>
      </c>
      <c r="E98" s="2">
        <v>99</v>
      </c>
      <c r="F98" s="2">
        <v>45</v>
      </c>
      <c r="G98" s="2">
        <v>1</v>
      </c>
      <c r="H98" s="2" t="s">
        <v>18</v>
      </c>
      <c r="I98" s="2">
        <v>0.80904010002268401</v>
      </c>
      <c r="J98" s="3" t="str">
        <f t="shared" si="1"/>
        <v>inconsistent</v>
      </c>
    </row>
    <row r="99" spans="1:10" x14ac:dyDescent="0.35">
      <c r="A99" s="2" t="s">
        <v>35</v>
      </c>
      <c r="B99" s="2" t="s">
        <v>22</v>
      </c>
      <c r="C99" s="2" t="s">
        <v>42</v>
      </c>
      <c r="D99" s="2" t="s">
        <v>12</v>
      </c>
      <c r="E99" s="2">
        <v>100</v>
      </c>
      <c r="F99" s="2">
        <v>46</v>
      </c>
      <c r="G99" s="2">
        <v>1</v>
      </c>
      <c r="H99" s="2" t="s">
        <v>13</v>
      </c>
      <c r="I99" s="2">
        <v>1.26282039994839</v>
      </c>
      <c r="J99" s="3" t="str">
        <f t="shared" si="1"/>
        <v>inconsistent</v>
      </c>
    </row>
    <row r="100" spans="1:10" x14ac:dyDescent="0.35">
      <c r="A100" s="2" t="s">
        <v>62</v>
      </c>
      <c r="B100" s="2" t="s">
        <v>15</v>
      </c>
      <c r="C100" s="2" t="s">
        <v>42</v>
      </c>
      <c r="D100" s="2" t="s">
        <v>12</v>
      </c>
      <c r="E100" s="2">
        <v>101</v>
      </c>
      <c r="F100" s="2">
        <v>47</v>
      </c>
      <c r="G100" s="2">
        <v>1</v>
      </c>
      <c r="H100" s="2" t="s">
        <v>13</v>
      </c>
      <c r="I100" s="2">
        <v>0.51614100002916496</v>
      </c>
      <c r="J100" s="3" t="str">
        <f t="shared" si="1"/>
        <v>consistent</v>
      </c>
    </row>
    <row r="101" spans="1:10" x14ac:dyDescent="0.35">
      <c r="A101" s="2" t="s">
        <v>50</v>
      </c>
      <c r="B101" s="2" t="s">
        <v>15</v>
      </c>
      <c r="C101" s="2" t="s">
        <v>20</v>
      </c>
      <c r="D101" s="2" t="s">
        <v>17</v>
      </c>
      <c r="E101" s="2">
        <v>102</v>
      </c>
      <c r="F101" s="2">
        <v>48</v>
      </c>
      <c r="G101" s="2">
        <v>1</v>
      </c>
      <c r="H101" s="2" t="s">
        <v>18</v>
      </c>
      <c r="I101" s="2">
        <v>1.0672073000459901</v>
      </c>
      <c r="J101" s="3" t="str">
        <f t="shared" si="1"/>
        <v>inconsistent</v>
      </c>
    </row>
    <row r="102" spans="1:10" x14ac:dyDescent="0.35">
      <c r="A102" s="2" t="s">
        <v>14</v>
      </c>
      <c r="B102" s="2" t="s">
        <v>15</v>
      </c>
      <c r="C102" s="2" t="s">
        <v>24</v>
      </c>
      <c r="D102" s="2" t="s">
        <v>12</v>
      </c>
      <c r="E102" s="2">
        <v>103</v>
      </c>
      <c r="F102" s="2">
        <v>49</v>
      </c>
      <c r="G102" s="2">
        <v>1</v>
      </c>
      <c r="H102" s="2" t="s">
        <v>13</v>
      </c>
      <c r="I102" s="2">
        <v>0.57979210000485104</v>
      </c>
      <c r="J102" s="3" t="str">
        <f t="shared" si="1"/>
        <v>consistent</v>
      </c>
    </row>
    <row r="103" spans="1:10" hidden="1" x14ac:dyDescent="0.35">
      <c r="A103" s="2" t="s">
        <v>51</v>
      </c>
      <c r="B103" s="2" t="s">
        <v>10</v>
      </c>
      <c r="C103" s="2" t="s">
        <v>56</v>
      </c>
      <c r="D103" s="2" t="s">
        <v>17</v>
      </c>
      <c r="E103" s="2">
        <v>104</v>
      </c>
      <c r="F103" s="2">
        <v>50</v>
      </c>
      <c r="G103" s="2">
        <v>1</v>
      </c>
      <c r="H103" s="2" t="s">
        <v>18</v>
      </c>
      <c r="I103" s="2">
        <v>0.469918599992524</v>
      </c>
      <c r="J103" s="3" t="str">
        <f t="shared" si="1"/>
        <v>neutral</v>
      </c>
    </row>
    <row r="104" spans="1:10" x14ac:dyDescent="0.35">
      <c r="A104" s="2" t="s">
        <v>26</v>
      </c>
      <c r="B104" s="2" t="s">
        <v>22</v>
      </c>
      <c r="C104" s="2" t="s">
        <v>29</v>
      </c>
      <c r="D104" s="2" t="s">
        <v>12</v>
      </c>
      <c r="E104" s="2">
        <v>105</v>
      </c>
      <c r="F104" s="2">
        <v>51</v>
      </c>
      <c r="G104" s="2">
        <v>1</v>
      </c>
      <c r="H104" s="2" t="s">
        <v>13</v>
      </c>
      <c r="I104" s="2">
        <v>0.42416250001406203</v>
      </c>
      <c r="J104" s="3" t="str">
        <f t="shared" si="1"/>
        <v>inconsistent</v>
      </c>
    </row>
    <row r="105" spans="1:10" hidden="1" x14ac:dyDescent="0.35">
      <c r="A105" s="2" t="s">
        <v>51</v>
      </c>
      <c r="B105" s="2" t="s">
        <v>10</v>
      </c>
      <c r="C105" s="2" t="s">
        <v>49</v>
      </c>
      <c r="D105" s="2" t="s">
        <v>12</v>
      </c>
      <c r="E105" s="2">
        <v>106</v>
      </c>
      <c r="F105" s="2">
        <v>52</v>
      </c>
      <c r="G105" s="2">
        <v>1</v>
      </c>
      <c r="H105" s="2" t="s">
        <v>13</v>
      </c>
      <c r="I105" s="2">
        <v>1.52083210001001</v>
      </c>
      <c r="J105" s="3" t="str">
        <f t="shared" si="1"/>
        <v>neutral</v>
      </c>
    </row>
    <row r="106" spans="1:10" hidden="1" x14ac:dyDescent="0.35">
      <c r="A106" s="2" t="s">
        <v>38</v>
      </c>
      <c r="B106" s="2" t="s">
        <v>10</v>
      </c>
      <c r="C106" s="2" t="s">
        <v>41</v>
      </c>
      <c r="D106" s="2" t="s">
        <v>12</v>
      </c>
      <c r="E106" s="2">
        <v>107</v>
      </c>
      <c r="F106" s="2">
        <v>53</v>
      </c>
      <c r="G106" s="2">
        <v>1</v>
      </c>
      <c r="H106" s="2" t="s">
        <v>13</v>
      </c>
      <c r="I106" s="2">
        <v>0.78574670001398705</v>
      </c>
      <c r="J106" s="3" t="str">
        <f t="shared" si="1"/>
        <v>neutral</v>
      </c>
    </row>
  </sheetData>
  <autoFilter ref="J1:J106" xr:uid="{051C03A5-64A0-4637-8DD7-320A1D42F1AA}">
    <filterColumn colId="0">
      <filters blank="1">
        <filter val="consistent"/>
        <filter val="inconsisten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C5C7-B658-4428-B765-749E85E94231}">
  <sheetPr filterMode="1"/>
  <dimension ref="A1:L103"/>
  <sheetViews>
    <sheetView topLeftCell="B1" workbookViewId="0">
      <selection activeCell="L24" sqref="L24"/>
    </sheetView>
  </sheetViews>
  <sheetFormatPr defaultRowHeight="14.5" x14ac:dyDescent="0.35"/>
  <cols>
    <col min="1" max="1" width="12.7265625" customWidth="1"/>
    <col min="2" max="2" width="17.1796875" customWidth="1"/>
    <col min="3" max="3" width="11.90625" customWidth="1"/>
    <col min="9" max="9" width="16.453125" customWidth="1"/>
    <col min="10" max="10" width="19.1796875" style="1" customWidth="1"/>
    <col min="11" max="46" width="19.1796875" customWidth="1"/>
  </cols>
  <sheetData>
    <row r="1" spans="1:12" s="7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69</v>
      </c>
    </row>
    <row r="2" spans="1:12" x14ac:dyDescent="0.35">
      <c r="A2" s="2"/>
      <c r="B2" s="2"/>
      <c r="C2" s="2"/>
      <c r="D2" s="2"/>
      <c r="E2" s="2"/>
      <c r="F2" s="2"/>
      <c r="G2" s="2"/>
      <c r="H2" s="2"/>
      <c r="I2" s="2"/>
      <c r="J2" s="3"/>
    </row>
    <row r="3" spans="1:12" x14ac:dyDescent="0.35">
      <c r="A3" s="2" t="s">
        <v>35</v>
      </c>
      <c r="B3" s="2" t="s">
        <v>22</v>
      </c>
      <c r="C3" s="2" t="s">
        <v>42</v>
      </c>
      <c r="D3" s="2" t="s">
        <v>12</v>
      </c>
      <c r="E3" s="2">
        <v>0</v>
      </c>
      <c r="F3" s="2">
        <v>0</v>
      </c>
      <c r="G3" s="2">
        <v>0</v>
      </c>
      <c r="H3" s="2" t="s">
        <v>13</v>
      </c>
      <c r="I3" s="2">
        <v>0.40035219996934701</v>
      </c>
      <c r="J3" s="3" t="str">
        <f>IF(OR(AND(B3="masculine",D3="male"), AND(B3="feminine",D3="female")), "consistent",
IF(OR(AND(B3="masculine",D3="female"), AND(B3="feminine",D3="male")), "inconsistent","neutral"))</f>
        <v>inconsistent</v>
      </c>
    </row>
    <row r="4" spans="1:12" x14ac:dyDescent="0.35">
      <c r="A4" s="2" t="s">
        <v>26</v>
      </c>
      <c r="B4" s="2" t="s">
        <v>22</v>
      </c>
      <c r="C4" s="2" t="s">
        <v>27</v>
      </c>
      <c r="D4" s="2" t="s">
        <v>17</v>
      </c>
      <c r="E4" s="2">
        <v>1</v>
      </c>
      <c r="F4" s="2">
        <v>1</v>
      </c>
      <c r="G4" s="2">
        <v>0</v>
      </c>
      <c r="H4" s="2" t="s">
        <v>18</v>
      </c>
      <c r="I4" s="2">
        <v>0.326365799992345</v>
      </c>
      <c r="J4" s="3" t="str">
        <f t="shared" ref="J4:J67" si="0">IF(OR(AND(B4="masculine",D4="male"), AND(B4="feminine",D4="female")), "consistent",
IF(OR(AND(B4="masculine",D4="female"), AND(B4="feminine",D4="male")), "inconsistent","neutral"))</f>
        <v>consistent</v>
      </c>
    </row>
    <row r="5" spans="1:12" x14ac:dyDescent="0.35">
      <c r="A5" s="2" t="s">
        <v>48</v>
      </c>
      <c r="B5" s="2" t="s">
        <v>15</v>
      </c>
      <c r="C5" s="2" t="s">
        <v>56</v>
      </c>
      <c r="D5" s="2" t="s">
        <v>17</v>
      </c>
      <c r="E5" s="2">
        <v>2</v>
      </c>
      <c r="F5" s="2">
        <v>2</v>
      </c>
      <c r="G5" s="2">
        <v>0</v>
      </c>
      <c r="H5" s="2" t="s">
        <v>18</v>
      </c>
      <c r="I5" s="2">
        <v>0.54539510002359703</v>
      </c>
      <c r="J5" s="3" t="str">
        <f t="shared" si="0"/>
        <v>inconsistent</v>
      </c>
    </row>
    <row r="6" spans="1:12" hidden="1" x14ac:dyDescent="0.35">
      <c r="A6" s="2" t="s">
        <v>19</v>
      </c>
      <c r="B6" s="2" t="s">
        <v>10</v>
      </c>
      <c r="C6" s="2" t="s">
        <v>59</v>
      </c>
      <c r="D6" s="2" t="s">
        <v>12</v>
      </c>
      <c r="E6" s="2">
        <v>3</v>
      </c>
      <c r="F6" s="2">
        <v>3</v>
      </c>
      <c r="G6" s="2">
        <v>0</v>
      </c>
      <c r="H6" s="2" t="s">
        <v>13</v>
      </c>
      <c r="I6" s="2">
        <v>0.31831599998986299</v>
      </c>
      <c r="J6" s="3" t="str">
        <f t="shared" si="0"/>
        <v>neutral</v>
      </c>
    </row>
    <row r="7" spans="1:12" x14ac:dyDescent="0.35">
      <c r="A7" s="2" t="s">
        <v>30</v>
      </c>
      <c r="B7" s="2" t="s">
        <v>22</v>
      </c>
      <c r="C7" s="2" t="s">
        <v>31</v>
      </c>
      <c r="D7" s="2" t="s">
        <v>17</v>
      </c>
      <c r="E7" s="2">
        <v>4</v>
      </c>
      <c r="F7" s="2">
        <v>4</v>
      </c>
      <c r="G7" s="2">
        <v>0</v>
      </c>
      <c r="H7" s="2" t="s">
        <v>18</v>
      </c>
      <c r="I7" s="2">
        <v>0.51002710004104301</v>
      </c>
      <c r="J7" s="3" t="str">
        <f t="shared" si="0"/>
        <v>consistent</v>
      </c>
    </row>
    <row r="8" spans="1:12" hidden="1" x14ac:dyDescent="0.35">
      <c r="A8" s="2" t="s">
        <v>38</v>
      </c>
      <c r="B8" s="2" t="s">
        <v>10</v>
      </c>
      <c r="C8" s="2" t="s">
        <v>39</v>
      </c>
      <c r="D8" s="2" t="s">
        <v>17</v>
      </c>
      <c r="E8" s="2">
        <v>5</v>
      </c>
      <c r="F8" s="2">
        <v>5</v>
      </c>
      <c r="G8" s="2">
        <v>0</v>
      </c>
      <c r="H8" s="2" t="s">
        <v>18</v>
      </c>
      <c r="I8" s="2">
        <v>0.443968200008384</v>
      </c>
      <c r="J8" s="3" t="str">
        <f t="shared" si="0"/>
        <v>neutral</v>
      </c>
    </row>
    <row r="9" spans="1:12" hidden="1" x14ac:dyDescent="0.35">
      <c r="A9" s="2" t="s">
        <v>38</v>
      </c>
      <c r="B9" s="2" t="s">
        <v>10</v>
      </c>
      <c r="C9" s="2" t="s">
        <v>41</v>
      </c>
      <c r="D9" s="2" t="s">
        <v>12</v>
      </c>
      <c r="E9" s="2">
        <v>6</v>
      </c>
      <c r="F9" s="2">
        <v>6</v>
      </c>
      <c r="G9" s="2">
        <v>0</v>
      </c>
      <c r="H9" s="2" t="s">
        <v>13</v>
      </c>
      <c r="I9" s="2">
        <v>0.32802919996902302</v>
      </c>
      <c r="J9" s="3" t="str">
        <f t="shared" si="0"/>
        <v>neutral</v>
      </c>
    </row>
    <row r="10" spans="1:12" x14ac:dyDescent="0.35">
      <c r="A10" s="2" t="s">
        <v>14</v>
      </c>
      <c r="B10" s="2" t="s">
        <v>15</v>
      </c>
      <c r="C10" s="2" t="s">
        <v>24</v>
      </c>
      <c r="D10" s="2" t="s">
        <v>12</v>
      </c>
      <c r="E10" s="2">
        <v>7</v>
      </c>
      <c r="F10" s="2">
        <v>7</v>
      </c>
      <c r="G10" s="2">
        <v>0</v>
      </c>
      <c r="H10" s="2" t="s">
        <v>13</v>
      </c>
      <c r="I10" s="2">
        <v>0.54313130001537502</v>
      </c>
      <c r="J10" s="3" t="str">
        <f t="shared" si="0"/>
        <v>consistent</v>
      </c>
    </row>
    <row r="11" spans="1:12" x14ac:dyDescent="0.35">
      <c r="A11" s="2" t="s">
        <v>43</v>
      </c>
      <c r="B11" s="2" t="s">
        <v>15</v>
      </c>
      <c r="C11" s="2" t="s">
        <v>60</v>
      </c>
      <c r="D11" s="2" t="s">
        <v>17</v>
      </c>
      <c r="E11" s="2">
        <v>8</v>
      </c>
      <c r="F11" s="2">
        <v>8</v>
      </c>
      <c r="G11" s="2">
        <v>0</v>
      </c>
      <c r="H11" s="2" t="s">
        <v>18</v>
      </c>
      <c r="I11" s="2">
        <v>0.65574129996821195</v>
      </c>
      <c r="J11" s="3" t="str">
        <f t="shared" si="0"/>
        <v>inconsistent</v>
      </c>
    </row>
    <row r="12" spans="1:12" x14ac:dyDescent="0.35">
      <c r="A12" s="2" t="s">
        <v>21</v>
      </c>
      <c r="B12" s="2" t="s">
        <v>22</v>
      </c>
      <c r="C12" s="2" t="s">
        <v>59</v>
      </c>
      <c r="D12" s="2" t="s">
        <v>12</v>
      </c>
      <c r="E12" s="2">
        <v>9</v>
      </c>
      <c r="F12" s="2">
        <v>9</v>
      </c>
      <c r="G12" s="2">
        <v>0</v>
      </c>
      <c r="H12" s="2" t="s">
        <v>13</v>
      </c>
      <c r="I12" s="2">
        <v>0.56914199999300696</v>
      </c>
      <c r="J12" s="3" t="str">
        <f t="shared" si="0"/>
        <v>inconsistent</v>
      </c>
    </row>
    <row r="13" spans="1:12" x14ac:dyDescent="0.35">
      <c r="A13" s="2" t="s">
        <v>46</v>
      </c>
      <c r="B13" s="2" t="s">
        <v>15</v>
      </c>
      <c r="C13" s="2" t="s">
        <v>41</v>
      </c>
      <c r="D13" s="2" t="s">
        <v>12</v>
      </c>
      <c r="E13" s="2">
        <v>10</v>
      </c>
      <c r="F13" s="2">
        <v>10</v>
      </c>
      <c r="G13" s="2">
        <v>0</v>
      </c>
      <c r="H13" s="2" t="s">
        <v>13</v>
      </c>
      <c r="I13" s="2">
        <v>0.49109229998430198</v>
      </c>
      <c r="J13" s="3" t="str">
        <f t="shared" si="0"/>
        <v>consistent</v>
      </c>
      <c r="K13" s="5" t="s">
        <v>71</v>
      </c>
      <c r="L13" s="4">
        <f>AVERAGE(I4:I102)</f>
        <v>0.74748359393561148</v>
      </c>
    </row>
    <row r="14" spans="1:12" x14ac:dyDescent="0.35">
      <c r="A14" s="2" t="s">
        <v>52</v>
      </c>
      <c r="B14" s="2" t="s">
        <v>15</v>
      </c>
      <c r="C14" s="2" t="s">
        <v>53</v>
      </c>
      <c r="D14" s="2" t="s">
        <v>17</v>
      </c>
      <c r="E14" s="2">
        <v>11</v>
      </c>
      <c r="F14" s="2">
        <v>11</v>
      </c>
      <c r="G14" s="2">
        <v>0</v>
      </c>
      <c r="H14" s="2" t="s">
        <v>18</v>
      </c>
      <c r="I14" s="2">
        <v>0.68766179995145604</v>
      </c>
      <c r="J14" s="3" t="str">
        <f t="shared" si="0"/>
        <v>inconsistent</v>
      </c>
      <c r="K14" s="5" t="s">
        <v>70</v>
      </c>
      <c r="L14" s="4">
        <f>AVERAGE(I3:I101)</f>
        <v>0.74634980302623766</v>
      </c>
    </row>
    <row r="15" spans="1:12" hidden="1" x14ac:dyDescent="0.35">
      <c r="A15" s="2" t="s">
        <v>54</v>
      </c>
      <c r="B15" s="2" t="s">
        <v>10</v>
      </c>
      <c r="C15" s="2" t="s">
        <v>60</v>
      </c>
      <c r="D15" s="2" t="s">
        <v>17</v>
      </c>
      <c r="E15" s="2">
        <v>12</v>
      </c>
      <c r="F15" s="2">
        <v>12</v>
      </c>
      <c r="G15" s="2">
        <v>0</v>
      </c>
      <c r="H15" s="2" t="s">
        <v>18</v>
      </c>
      <c r="I15" s="2">
        <v>0.87329459999455095</v>
      </c>
      <c r="J15" s="3" t="str">
        <f t="shared" si="0"/>
        <v>neutral</v>
      </c>
    </row>
    <row r="16" spans="1:12" hidden="1" x14ac:dyDescent="0.35">
      <c r="A16" s="2" t="s">
        <v>9</v>
      </c>
      <c r="B16" s="2" t="s">
        <v>10</v>
      </c>
      <c r="C16" s="2" t="s">
        <v>11</v>
      </c>
      <c r="D16" s="2" t="s">
        <v>12</v>
      </c>
      <c r="E16" s="2">
        <v>13</v>
      </c>
      <c r="F16" s="2">
        <v>13</v>
      </c>
      <c r="G16" s="2">
        <v>0</v>
      </c>
      <c r="H16" s="2" t="s">
        <v>13</v>
      </c>
      <c r="I16" s="2">
        <v>0.50613430002704196</v>
      </c>
      <c r="J16" s="3" t="str">
        <f t="shared" si="0"/>
        <v>neutral</v>
      </c>
    </row>
    <row r="17" spans="1:12" hidden="1" x14ac:dyDescent="0.35">
      <c r="A17" s="2" t="s">
        <v>45</v>
      </c>
      <c r="B17" s="2" t="s">
        <v>10</v>
      </c>
      <c r="C17" s="2" t="s">
        <v>33</v>
      </c>
      <c r="D17" s="2" t="s">
        <v>12</v>
      </c>
      <c r="E17" s="2">
        <v>14</v>
      </c>
      <c r="F17" s="2">
        <v>14</v>
      </c>
      <c r="G17" s="2">
        <v>0</v>
      </c>
      <c r="H17" s="2" t="s">
        <v>13</v>
      </c>
      <c r="I17" s="2">
        <v>0.55744160001631804</v>
      </c>
      <c r="J17" s="3" t="str">
        <f t="shared" si="0"/>
        <v>neutral</v>
      </c>
    </row>
    <row r="18" spans="1:12" hidden="1" x14ac:dyDescent="0.35">
      <c r="A18" s="2" t="s">
        <v>23</v>
      </c>
      <c r="B18" s="2" t="s">
        <v>10</v>
      </c>
      <c r="C18" s="2" t="s">
        <v>24</v>
      </c>
      <c r="D18" s="2" t="s">
        <v>12</v>
      </c>
      <c r="E18" s="2">
        <v>15</v>
      </c>
      <c r="F18" s="2">
        <v>15</v>
      </c>
      <c r="G18" s="2">
        <v>0</v>
      </c>
      <c r="H18" s="2" t="s">
        <v>13</v>
      </c>
      <c r="I18" s="2">
        <v>0.39017659996170501</v>
      </c>
      <c r="J18" s="3" t="str">
        <f t="shared" si="0"/>
        <v>neutral</v>
      </c>
    </row>
    <row r="19" spans="1:12" x14ac:dyDescent="0.35">
      <c r="A19" s="2" t="s">
        <v>34</v>
      </c>
      <c r="B19" s="2" t="s">
        <v>15</v>
      </c>
      <c r="C19" s="2" t="s">
        <v>37</v>
      </c>
      <c r="D19" s="2" t="s">
        <v>17</v>
      </c>
      <c r="E19" s="2">
        <v>16</v>
      </c>
      <c r="F19" s="2">
        <v>16</v>
      </c>
      <c r="G19" s="2">
        <v>0</v>
      </c>
      <c r="H19" s="2" t="s">
        <v>18</v>
      </c>
      <c r="I19" s="2">
        <v>0.73898849997203797</v>
      </c>
      <c r="J19" s="3" t="str">
        <f t="shared" si="0"/>
        <v>inconsistent</v>
      </c>
      <c r="K19" s="7"/>
    </row>
    <row r="20" spans="1:12" hidden="1" x14ac:dyDescent="0.35">
      <c r="A20" s="2" t="s">
        <v>58</v>
      </c>
      <c r="B20" s="2" t="s">
        <v>10</v>
      </c>
      <c r="C20" s="2" t="s">
        <v>42</v>
      </c>
      <c r="D20" s="2" t="s">
        <v>12</v>
      </c>
      <c r="E20" s="2">
        <v>18</v>
      </c>
      <c r="F20" s="2">
        <v>18</v>
      </c>
      <c r="G20" s="2">
        <v>0</v>
      </c>
      <c r="H20" s="2" t="s">
        <v>13</v>
      </c>
      <c r="I20" s="2">
        <v>0.88184499996714205</v>
      </c>
      <c r="J20" s="3" t="str">
        <f t="shared" si="0"/>
        <v>neutral</v>
      </c>
    </row>
    <row r="21" spans="1:12" x14ac:dyDescent="0.35">
      <c r="A21" s="2" t="s">
        <v>46</v>
      </c>
      <c r="B21" s="2" t="s">
        <v>15</v>
      </c>
      <c r="C21" s="2" t="s">
        <v>39</v>
      </c>
      <c r="D21" s="2" t="s">
        <v>17</v>
      </c>
      <c r="E21" s="2">
        <v>19</v>
      </c>
      <c r="F21" s="2">
        <v>19</v>
      </c>
      <c r="G21" s="2">
        <v>0</v>
      </c>
      <c r="H21" s="2" t="s">
        <v>18</v>
      </c>
      <c r="I21" s="2">
        <v>0.45079109998187</v>
      </c>
      <c r="J21" s="3" t="str">
        <f t="shared" si="0"/>
        <v>inconsistent</v>
      </c>
      <c r="K21" s="2" t="s">
        <v>76</v>
      </c>
      <c r="L21" s="4">
        <f>AVERAGEIFS(I3:I102, J3:J102, "consistent", D3:D102, "male")</f>
        <v>0.68435129411655449</v>
      </c>
    </row>
    <row r="22" spans="1:12" x14ac:dyDescent="0.35">
      <c r="A22" s="2" t="s">
        <v>28</v>
      </c>
      <c r="B22" s="2" t="s">
        <v>15</v>
      </c>
      <c r="C22" s="2" t="s">
        <v>27</v>
      </c>
      <c r="D22" s="2" t="s">
        <v>17</v>
      </c>
      <c r="E22" s="2">
        <v>20</v>
      </c>
      <c r="F22" s="2">
        <v>20</v>
      </c>
      <c r="G22" s="2">
        <v>0</v>
      </c>
      <c r="H22" s="2" t="s">
        <v>18</v>
      </c>
      <c r="I22" s="2">
        <v>0.48342190001858398</v>
      </c>
      <c r="J22" s="3" t="str">
        <f t="shared" si="0"/>
        <v>inconsistent</v>
      </c>
      <c r="K22" s="2" t="s">
        <v>77</v>
      </c>
      <c r="L22" s="4">
        <f>AVERAGEIFS(I3:I102, J3:J102, "consistent", D3:D102, "female")</f>
        <v>0.70174887894934523</v>
      </c>
    </row>
    <row r="23" spans="1:12" x14ac:dyDescent="0.35">
      <c r="A23" s="2" t="s">
        <v>14</v>
      </c>
      <c r="B23" s="2" t="s">
        <v>15</v>
      </c>
      <c r="C23" s="2" t="s">
        <v>16</v>
      </c>
      <c r="D23" s="2" t="s">
        <v>17</v>
      </c>
      <c r="E23" s="2">
        <v>21</v>
      </c>
      <c r="F23" s="2">
        <v>21</v>
      </c>
      <c r="G23" s="2">
        <v>0</v>
      </c>
      <c r="H23" s="2" t="s">
        <v>18</v>
      </c>
      <c r="I23" s="2">
        <v>1.5897038999828501</v>
      </c>
      <c r="J23" s="3" t="str">
        <f t="shared" si="0"/>
        <v>inconsistent</v>
      </c>
      <c r="K23" s="2" t="s">
        <v>78</v>
      </c>
      <c r="L23" s="4">
        <f>AVERAGEIFS(I3:I102, J3:J102, "inconsistent", D3:D102, "male")</f>
        <v>0.7627211315741157</v>
      </c>
    </row>
    <row r="24" spans="1:12" x14ac:dyDescent="0.35">
      <c r="A24" s="2" t="s">
        <v>25</v>
      </c>
      <c r="B24" s="2" t="s">
        <v>22</v>
      </c>
      <c r="C24" s="2" t="s">
        <v>24</v>
      </c>
      <c r="D24" s="2" t="s">
        <v>12</v>
      </c>
      <c r="E24" s="2">
        <v>22</v>
      </c>
      <c r="F24" s="2">
        <v>22</v>
      </c>
      <c r="G24" s="2">
        <v>0</v>
      </c>
      <c r="H24" s="2" t="s">
        <v>13</v>
      </c>
      <c r="I24" s="2">
        <v>1.26386659999843</v>
      </c>
      <c r="J24" s="3" t="str">
        <f t="shared" si="0"/>
        <v>inconsistent</v>
      </c>
      <c r="K24" s="2" t="s">
        <v>79</v>
      </c>
      <c r="L24" s="4">
        <f>AVERAGEIFS(I3:I102, J3:J102, "inconsistent", D3:D102, "female")</f>
        <v>0.88132415881024195</v>
      </c>
    </row>
    <row r="25" spans="1:12" x14ac:dyDescent="0.35">
      <c r="A25" s="2" t="s">
        <v>57</v>
      </c>
      <c r="B25" s="2" t="s">
        <v>22</v>
      </c>
      <c r="C25" s="2" t="s">
        <v>55</v>
      </c>
      <c r="D25" s="2" t="s">
        <v>12</v>
      </c>
      <c r="E25" s="2">
        <v>23</v>
      </c>
      <c r="F25" s="2">
        <v>23</v>
      </c>
      <c r="G25" s="2">
        <v>0</v>
      </c>
      <c r="H25" s="2" t="s">
        <v>13</v>
      </c>
      <c r="I25" s="2">
        <v>0.81723599997348995</v>
      </c>
      <c r="J25" s="3" t="str">
        <f t="shared" si="0"/>
        <v>inconsistent</v>
      </c>
    </row>
    <row r="26" spans="1:12" x14ac:dyDescent="0.35">
      <c r="A26" s="2" t="s">
        <v>25</v>
      </c>
      <c r="B26" s="2" t="s">
        <v>22</v>
      </c>
      <c r="C26" s="2" t="s">
        <v>16</v>
      </c>
      <c r="D26" s="2" t="s">
        <v>17</v>
      </c>
      <c r="E26" s="2">
        <v>24</v>
      </c>
      <c r="F26" s="2">
        <v>24</v>
      </c>
      <c r="G26" s="2">
        <v>0</v>
      </c>
      <c r="H26" s="2" t="s">
        <v>18</v>
      </c>
      <c r="I26" s="2">
        <v>0.79461849998915501</v>
      </c>
      <c r="J26" s="3" t="str">
        <f t="shared" si="0"/>
        <v>consistent</v>
      </c>
    </row>
    <row r="27" spans="1:12" x14ac:dyDescent="0.35">
      <c r="A27" s="2" t="s">
        <v>43</v>
      </c>
      <c r="B27" s="2" t="s">
        <v>15</v>
      </c>
      <c r="C27" s="2" t="s">
        <v>44</v>
      </c>
      <c r="D27" s="2" t="s">
        <v>12</v>
      </c>
      <c r="E27" s="2">
        <v>25</v>
      </c>
      <c r="F27" s="2">
        <v>25</v>
      </c>
      <c r="G27" s="2">
        <v>0</v>
      </c>
      <c r="H27" s="2" t="s">
        <v>13</v>
      </c>
      <c r="I27" s="2">
        <v>0.53674740000860699</v>
      </c>
      <c r="J27" s="3" t="str">
        <f t="shared" si="0"/>
        <v>consistent</v>
      </c>
    </row>
    <row r="28" spans="1:12" x14ac:dyDescent="0.35">
      <c r="A28" s="2" t="s">
        <v>47</v>
      </c>
      <c r="B28" s="2" t="s">
        <v>22</v>
      </c>
      <c r="C28" s="2" t="s">
        <v>37</v>
      </c>
      <c r="D28" s="2" t="s">
        <v>17</v>
      </c>
      <c r="E28" s="2">
        <v>26</v>
      </c>
      <c r="F28" s="2">
        <v>26</v>
      </c>
      <c r="G28" s="2">
        <v>0</v>
      </c>
      <c r="H28" s="2" t="s">
        <v>18</v>
      </c>
      <c r="I28" s="2">
        <v>0.49283319996902702</v>
      </c>
      <c r="J28" s="3" t="str">
        <f t="shared" si="0"/>
        <v>consistent</v>
      </c>
    </row>
    <row r="29" spans="1:12" x14ac:dyDescent="0.35">
      <c r="A29" s="2" t="s">
        <v>61</v>
      </c>
      <c r="B29" s="2" t="s">
        <v>22</v>
      </c>
      <c r="C29" s="2" t="s">
        <v>44</v>
      </c>
      <c r="D29" s="2" t="s">
        <v>12</v>
      </c>
      <c r="E29" s="2">
        <v>27</v>
      </c>
      <c r="F29" s="2">
        <v>27</v>
      </c>
      <c r="G29" s="2">
        <v>0</v>
      </c>
      <c r="H29" s="2" t="s">
        <v>13</v>
      </c>
      <c r="I29" s="2">
        <v>0.51571459998376601</v>
      </c>
      <c r="J29" s="3" t="str">
        <f t="shared" si="0"/>
        <v>inconsistent</v>
      </c>
    </row>
    <row r="30" spans="1:12" x14ac:dyDescent="0.35">
      <c r="A30" s="2" t="s">
        <v>28</v>
      </c>
      <c r="B30" s="2" t="s">
        <v>15</v>
      </c>
      <c r="C30" s="2" t="s">
        <v>29</v>
      </c>
      <c r="D30" s="2" t="s">
        <v>12</v>
      </c>
      <c r="E30" s="2">
        <v>28</v>
      </c>
      <c r="F30" s="2">
        <v>28</v>
      </c>
      <c r="G30" s="2">
        <v>0</v>
      </c>
      <c r="H30" s="2" t="s">
        <v>13</v>
      </c>
      <c r="I30" s="2">
        <v>0.64563829998951405</v>
      </c>
      <c r="J30" s="3" t="str">
        <f t="shared" si="0"/>
        <v>consistent</v>
      </c>
    </row>
    <row r="31" spans="1:12" hidden="1" x14ac:dyDescent="0.35">
      <c r="A31" s="2" t="s">
        <v>45</v>
      </c>
      <c r="B31" s="2" t="s">
        <v>10</v>
      </c>
      <c r="C31" s="2" t="s">
        <v>31</v>
      </c>
      <c r="D31" s="2" t="s">
        <v>17</v>
      </c>
      <c r="E31" s="2">
        <v>29</v>
      </c>
      <c r="F31" s="2">
        <v>29</v>
      </c>
      <c r="G31" s="2">
        <v>0</v>
      </c>
      <c r="H31" s="2" t="s">
        <v>18</v>
      </c>
      <c r="I31" s="2">
        <v>0.499343500006943</v>
      </c>
      <c r="J31" s="3" t="str">
        <f t="shared" si="0"/>
        <v>neutral</v>
      </c>
    </row>
    <row r="32" spans="1:12" hidden="1" x14ac:dyDescent="0.35">
      <c r="A32" s="2" t="s">
        <v>54</v>
      </c>
      <c r="B32" s="2" t="s">
        <v>10</v>
      </c>
      <c r="C32" s="2" t="s">
        <v>44</v>
      </c>
      <c r="D32" s="2" t="s">
        <v>12</v>
      </c>
      <c r="E32" s="2">
        <v>30</v>
      </c>
      <c r="F32" s="2">
        <v>30</v>
      </c>
      <c r="G32" s="2">
        <v>0</v>
      </c>
      <c r="H32" s="2" t="s">
        <v>13</v>
      </c>
      <c r="I32" s="2">
        <v>0.61846919998060901</v>
      </c>
      <c r="J32" s="3" t="str">
        <f t="shared" si="0"/>
        <v>neutral</v>
      </c>
    </row>
    <row r="33" spans="1:10" x14ac:dyDescent="0.35">
      <c r="A33" s="2" t="s">
        <v>32</v>
      </c>
      <c r="B33" s="2" t="s">
        <v>15</v>
      </c>
      <c r="C33" s="2" t="s">
        <v>31</v>
      </c>
      <c r="D33" s="2" t="s">
        <v>17</v>
      </c>
      <c r="E33" s="2">
        <v>31</v>
      </c>
      <c r="F33" s="2">
        <v>31</v>
      </c>
      <c r="G33" s="2">
        <v>0</v>
      </c>
      <c r="H33" s="2" t="s">
        <v>18</v>
      </c>
      <c r="I33" s="2">
        <v>0.52889570000115704</v>
      </c>
      <c r="J33" s="3" t="str">
        <f t="shared" si="0"/>
        <v>inconsistent</v>
      </c>
    </row>
    <row r="34" spans="1:10" hidden="1" x14ac:dyDescent="0.35">
      <c r="A34" s="2" t="s">
        <v>51</v>
      </c>
      <c r="B34" s="2" t="s">
        <v>10</v>
      </c>
      <c r="C34" s="2" t="s">
        <v>56</v>
      </c>
      <c r="D34" s="2" t="s">
        <v>17</v>
      </c>
      <c r="E34" s="2">
        <v>33</v>
      </c>
      <c r="F34" s="2">
        <v>33</v>
      </c>
      <c r="G34" s="2">
        <v>0</v>
      </c>
      <c r="H34" s="2" t="s">
        <v>18</v>
      </c>
      <c r="I34" s="2">
        <v>1.1926957000396201</v>
      </c>
      <c r="J34" s="3" t="str">
        <f t="shared" si="0"/>
        <v>neutral</v>
      </c>
    </row>
    <row r="35" spans="1:10" hidden="1" x14ac:dyDescent="0.35">
      <c r="A35" s="2" t="s">
        <v>51</v>
      </c>
      <c r="B35" s="2" t="s">
        <v>10</v>
      </c>
      <c r="C35" s="2" t="s">
        <v>49</v>
      </c>
      <c r="D35" s="2" t="s">
        <v>12</v>
      </c>
      <c r="E35" s="2">
        <v>34</v>
      </c>
      <c r="F35" s="2">
        <v>34</v>
      </c>
      <c r="G35" s="2">
        <v>0</v>
      </c>
      <c r="H35" s="2" t="s">
        <v>13</v>
      </c>
      <c r="I35" s="2">
        <v>0.48591749998740802</v>
      </c>
      <c r="J35" s="3" t="str">
        <f t="shared" si="0"/>
        <v>neutral</v>
      </c>
    </row>
    <row r="36" spans="1:10" x14ac:dyDescent="0.35">
      <c r="A36" s="2" t="s">
        <v>61</v>
      </c>
      <c r="B36" s="2" t="s">
        <v>22</v>
      </c>
      <c r="C36" s="2" t="s">
        <v>60</v>
      </c>
      <c r="D36" s="2" t="s">
        <v>17</v>
      </c>
      <c r="E36" s="2">
        <v>35</v>
      </c>
      <c r="F36" s="2">
        <v>35</v>
      </c>
      <c r="G36" s="2">
        <v>0</v>
      </c>
      <c r="H36" s="2" t="s">
        <v>18</v>
      </c>
      <c r="I36" s="2">
        <v>0.68023840000387203</v>
      </c>
      <c r="J36" s="3" t="str">
        <f t="shared" si="0"/>
        <v>consistent</v>
      </c>
    </row>
    <row r="37" spans="1:10" x14ac:dyDescent="0.35">
      <c r="A37" s="2" t="s">
        <v>47</v>
      </c>
      <c r="B37" s="2" t="s">
        <v>22</v>
      </c>
      <c r="C37" s="2" t="s">
        <v>11</v>
      </c>
      <c r="D37" s="2" t="s">
        <v>12</v>
      </c>
      <c r="E37" s="2">
        <v>37</v>
      </c>
      <c r="F37" s="2">
        <v>37</v>
      </c>
      <c r="G37" s="2">
        <v>0</v>
      </c>
      <c r="H37" s="2" t="s">
        <v>13</v>
      </c>
      <c r="I37" s="2">
        <v>0.72661319997860097</v>
      </c>
      <c r="J37" s="3" t="str">
        <f t="shared" si="0"/>
        <v>inconsistent</v>
      </c>
    </row>
    <row r="38" spans="1:10" x14ac:dyDescent="0.35">
      <c r="A38" s="2" t="s">
        <v>35</v>
      </c>
      <c r="B38" s="2" t="s">
        <v>22</v>
      </c>
      <c r="C38" s="2" t="s">
        <v>36</v>
      </c>
      <c r="D38" s="2" t="s">
        <v>17</v>
      </c>
      <c r="E38" s="2">
        <v>38</v>
      </c>
      <c r="F38" s="2">
        <v>38</v>
      </c>
      <c r="G38" s="2">
        <v>0</v>
      </c>
      <c r="H38" s="2" t="s">
        <v>18</v>
      </c>
      <c r="I38" s="2">
        <v>0.59341540001332704</v>
      </c>
      <c r="J38" s="3" t="str">
        <f t="shared" si="0"/>
        <v>consistent</v>
      </c>
    </row>
    <row r="39" spans="1:10" x14ac:dyDescent="0.35">
      <c r="A39" s="2" t="s">
        <v>48</v>
      </c>
      <c r="B39" s="2" t="s">
        <v>15</v>
      </c>
      <c r="C39" s="2" t="s">
        <v>49</v>
      </c>
      <c r="D39" s="2" t="s">
        <v>12</v>
      </c>
      <c r="E39" s="2">
        <v>39</v>
      </c>
      <c r="F39" s="2">
        <v>39</v>
      </c>
      <c r="G39" s="2">
        <v>0</v>
      </c>
      <c r="H39" s="2" t="s">
        <v>13</v>
      </c>
      <c r="I39" s="2">
        <v>0.514764000021386</v>
      </c>
      <c r="J39" s="3" t="str">
        <f t="shared" si="0"/>
        <v>consistent</v>
      </c>
    </row>
    <row r="40" spans="1:10" x14ac:dyDescent="0.35">
      <c r="A40" s="2" t="s">
        <v>40</v>
      </c>
      <c r="B40" s="2" t="s">
        <v>22</v>
      </c>
      <c r="C40" s="2" t="s">
        <v>39</v>
      </c>
      <c r="D40" s="2" t="s">
        <v>17</v>
      </c>
      <c r="E40" s="2">
        <v>40</v>
      </c>
      <c r="F40" s="2">
        <v>40</v>
      </c>
      <c r="G40" s="2">
        <v>0</v>
      </c>
      <c r="H40" s="2" t="s">
        <v>18</v>
      </c>
      <c r="I40" s="2">
        <v>0.39244069997221198</v>
      </c>
      <c r="J40" s="3" t="str">
        <f t="shared" si="0"/>
        <v>consistent</v>
      </c>
    </row>
    <row r="41" spans="1:10" hidden="1" x14ac:dyDescent="0.35">
      <c r="A41" s="2" t="s">
        <v>9</v>
      </c>
      <c r="B41" s="2" t="s">
        <v>10</v>
      </c>
      <c r="C41" s="2" t="s">
        <v>37</v>
      </c>
      <c r="D41" s="2" t="s">
        <v>17</v>
      </c>
      <c r="E41" s="2">
        <v>42</v>
      </c>
      <c r="F41" s="2">
        <v>42</v>
      </c>
      <c r="G41" s="2">
        <v>0</v>
      </c>
      <c r="H41" s="2" t="s">
        <v>18</v>
      </c>
      <c r="I41" s="2">
        <v>0.52925879997201197</v>
      </c>
      <c r="J41" s="3" t="str">
        <f t="shared" si="0"/>
        <v>neutral</v>
      </c>
    </row>
    <row r="42" spans="1:10" x14ac:dyDescent="0.35">
      <c r="A42" s="2" t="s">
        <v>50</v>
      </c>
      <c r="B42" s="2" t="s">
        <v>15</v>
      </c>
      <c r="C42" s="2" t="s">
        <v>59</v>
      </c>
      <c r="D42" s="2" t="s">
        <v>12</v>
      </c>
      <c r="E42" s="2">
        <v>43</v>
      </c>
      <c r="F42" s="2">
        <v>43</v>
      </c>
      <c r="G42" s="2">
        <v>0</v>
      </c>
      <c r="H42" s="2" t="s">
        <v>13</v>
      </c>
      <c r="I42" s="2">
        <v>0.584617900021839</v>
      </c>
      <c r="J42" s="3" t="str">
        <f t="shared" si="0"/>
        <v>consistent</v>
      </c>
    </row>
    <row r="43" spans="1:10" x14ac:dyDescent="0.35">
      <c r="A43" s="2" t="s">
        <v>50</v>
      </c>
      <c r="B43" s="2" t="s">
        <v>15</v>
      </c>
      <c r="C43" s="2" t="s">
        <v>20</v>
      </c>
      <c r="D43" s="2" t="s">
        <v>17</v>
      </c>
      <c r="E43" s="2">
        <v>44</v>
      </c>
      <c r="F43" s="2">
        <v>44</v>
      </c>
      <c r="G43" s="2">
        <v>0</v>
      </c>
      <c r="H43" s="2" t="s">
        <v>13</v>
      </c>
      <c r="I43" s="2">
        <v>0.445004000037442</v>
      </c>
      <c r="J43" s="3" t="str">
        <f t="shared" si="0"/>
        <v>inconsistent</v>
      </c>
    </row>
    <row r="44" spans="1:10" hidden="1" x14ac:dyDescent="0.35">
      <c r="A44" s="2" t="s">
        <v>19</v>
      </c>
      <c r="B44" s="2" t="s">
        <v>10</v>
      </c>
      <c r="C44" s="2" t="s">
        <v>20</v>
      </c>
      <c r="D44" s="2" t="s">
        <v>17</v>
      </c>
      <c r="E44" s="2">
        <v>45</v>
      </c>
      <c r="F44" s="2">
        <v>45</v>
      </c>
      <c r="G44" s="2">
        <v>0</v>
      </c>
      <c r="H44" s="2" t="s">
        <v>18</v>
      </c>
      <c r="I44" s="2">
        <v>0.71262509998632595</v>
      </c>
      <c r="J44" s="3" t="str">
        <f t="shared" si="0"/>
        <v>neutral</v>
      </c>
    </row>
    <row r="45" spans="1:10" x14ac:dyDescent="0.35">
      <c r="A45" s="2" t="s">
        <v>62</v>
      </c>
      <c r="B45" s="2" t="s">
        <v>15</v>
      </c>
      <c r="C45" s="2" t="s">
        <v>42</v>
      </c>
      <c r="D45" s="2" t="s">
        <v>12</v>
      </c>
      <c r="E45" s="2">
        <v>46</v>
      </c>
      <c r="F45" s="2">
        <v>46</v>
      </c>
      <c r="G45" s="2">
        <v>0</v>
      </c>
      <c r="H45" s="2" t="s">
        <v>13</v>
      </c>
      <c r="I45" s="2">
        <v>1.554148300027</v>
      </c>
      <c r="J45" s="3" t="str">
        <f t="shared" si="0"/>
        <v>consistent</v>
      </c>
    </row>
    <row r="46" spans="1:10" x14ac:dyDescent="0.35">
      <c r="A46" s="2" t="s">
        <v>52</v>
      </c>
      <c r="B46" s="2" t="s">
        <v>15</v>
      </c>
      <c r="C46" s="2" t="s">
        <v>55</v>
      </c>
      <c r="D46" s="2" t="s">
        <v>12</v>
      </c>
      <c r="E46" s="2">
        <v>47</v>
      </c>
      <c r="F46" s="2">
        <v>47</v>
      </c>
      <c r="G46" s="2">
        <v>0</v>
      </c>
      <c r="H46" s="2" t="s">
        <v>13</v>
      </c>
      <c r="I46" s="2">
        <v>0.49455750000197402</v>
      </c>
      <c r="J46" s="3" t="str">
        <f t="shared" si="0"/>
        <v>consistent</v>
      </c>
    </row>
    <row r="47" spans="1:10" x14ac:dyDescent="0.35">
      <c r="A47" s="2" t="s">
        <v>34</v>
      </c>
      <c r="B47" s="2" t="s">
        <v>15</v>
      </c>
      <c r="C47" s="2" t="s">
        <v>11</v>
      </c>
      <c r="D47" s="2" t="s">
        <v>12</v>
      </c>
      <c r="E47" s="2">
        <v>48</v>
      </c>
      <c r="F47" s="2">
        <v>48</v>
      </c>
      <c r="G47" s="2">
        <v>0</v>
      </c>
      <c r="H47" s="2" t="s">
        <v>13</v>
      </c>
      <c r="I47" s="2">
        <v>0.483046500012278</v>
      </c>
      <c r="J47" s="3" t="str">
        <f t="shared" si="0"/>
        <v>consistent</v>
      </c>
    </row>
    <row r="48" spans="1:10" x14ac:dyDescent="0.35">
      <c r="A48" s="2" t="s">
        <v>26</v>
      </c>
      <c r="B48" s="2" t="s">
        <v>22</v>
      </c>
      <c r="C48" s="2" t="s">
        <v>29</v>
      </c>
      <c r="D48" s="2" t="s">
        <v>12</v>
      </c>
      <c r="E48" s="2">
        <v>49</v>
      </c>
      <c r="F48" s="2">
        <v>49</v>
      </c>
      <c r="G48" s="2">
        <v>0</v>
      </c>
      <c r="H48" s="2" t="s">
        <v>13</v>
      </c>
      <c r="I48" s="2">
        <v>0.54790279996814195</v>
      </c>
      <c r="J48" s="3" t="str">
        <f t="shared" si="0"/>
        <v>inconsistent</v>
      </c>
    </row>
    <row r="49" spans="1:10" x14ac:dyDescent="0.35">
      <c r="A49" s="2" t="s">
        <v>40</v>
      </c>
      <c r="B49" s="2" t="s">
        <v>22</v>
      </c>
      <c r="C49" s="2" t="s">
        <v>41</v>
      </c>
      <c r="D49" s="2" t="s">
        <v>12</v>
      </c>
      <c r="E49" s="2">
        <v>50</v>
      </c>
      <c r="F49" s="2">
        <v>50</v>
      </c>
      <c r="G49" s="2">
        <v>0</v>
      </c>
      <c r="H49" s="2" t="s">
        <v>13</v>
      </c>
      <c r="I49" s="2">
        <v>0.66857019998133105</v>
      </c>
      <c r="J49" s="3" t="str">
        <f t="shared" si="0"/>
        <v>inconsistent</v>
      </c>
    </row>
    <row r="50" spans="1:10" x14ac:dyDescent="0.35">
      <c r="A50" s="2" t="s">
        <v>32</v>
      </c>
      <c r="B50" s="2" t="s">
        <v>15</v>
      </c>
      <c r="C50" s="2" t="s">
        <v>33</v>
      </c>
      <c r="D50" s="2" t="s">
        <v>12</v>
      </c>
      <c r="E50" s="2">
        <v>51</v>
      </c>
      <c r="F50" s="2">
        <v>51</v>
      </c>
      <c r="G50" s="2">
        <v>0</v>
      </c>
      <c r="H50" s="2" t="s">
        <v>13</v>
      </c>
      <c r="I50" s="2">
        <v>0.48341749998507999</v>
      </c>
      <c r="J50" s="3" t="str">
        <f t="shared" si="0"/>
        <v>consistent</v>
      </c>
    </row>
    <row r="51" spans="1:10" x14ac:dyDescent="0.35">
      <c r="A51" s="2" t="s">
        <v>21</v>
      </c>
      <c r="B51" s="2" t="s">
        <v>22</v>
      </c>
      <c r="C51" s="2" t="s">
        <v>20</v>
      </c>
      <c r="D51" s="2" t="s">
        <v>17</v>
      </c>
      <c r="E51" s="2">
        <v>52</v>
      </c>
      <c r="F51" s="2">
        <v>52</v>
      </c>
      <c r="G51" s="2">
        <v>0</v>
      </c>
      <c r="H51" s="2" t="s">
        <v>18</v>
      </c>
      <c r="I51" s="2">
        <v>0.61572139995405395</v>
      </c>
      <c r="J51" s="3" t="str">
        <f t="shared" si="0"/>
        <v>consistent</v>
      </c>
    </row>
    <row r="52" spans="1:10" x14ac:dyDescent="0.35">
      <c r="A52" s="2" t="s">
        <v>57</v>
      </c>
      <c r="B52" s="2" t="s">
        <v>22</v>
      </c>
      <c r="C52" s="2" t="s">
        <v>53</v>
      </c>
      <c r="D52" s="2" t="s">
        <v>17</v>
      </c>
      <c r="E52" s="2">
        <v>53</v>
      </c>
      <c r="F52" s="2">
        <v>53</v>
      </c>
      <c r="G52" s="2">
        <v>0</v>
      </c>
      <c r="H52" s="2" t="s">
        <v>18</v>
      </c>
      <c r="I52" s="2">
        <v>0.59473700000671603</v>
      </c>
      <c r="J52" s="3" t="str">
        <f t="shared" si="0"/>
        <v>consistent</v>
      </c>
    </row>
    <row r="53" spans="1:10" hidden="1" x14ac:dyDescent="0.35">
      <c r="A53" s="2" t="s">
        <v>54</v>
      </c>
      <c r="B53" s="2" t="s">
        <v>10</v>
      </c>
      <c r="C53" s="2" t="s">
        <v>44</v>
      </c>
      <c r="D53" s="2" t="s">
        <v>12</v>
      </c>
      <c r="E53" s="2">
        <v>54</v>
      </c>
      <c r="F53" s="2">
        <v>0</v>
      </c>
      <c r="G53" s="2">
        <v>1</v>
      </c>
      <c r="H53" s="2" t="s">
        <v>13</v>
      </c>
      <c r="I53" s="2">
        <v>0.90725320001365595</v>
      </c>
      <c r="J53" s="3" t="str">
        <f t="shared" si="0"/>
        <v>neutral</v>
      </c>
    </row>
    <row r="54" spans="1:10" x14ac:dyDescent="0.35">
      <c r="A54" s="2" t="s">
        <v>40</v>
      </c>
      <c r="B54" s="2" t="s">
        <v>22</v>
      </c>
      <c r="C54" s="2" t="s">
        <v>41</v>
      </c>
      <c r="D54" s="2" t="s">
        <v>12</v>
      </c>
      <c r="E54" s="2">
        <v>55</v>
      </c>
      <c r="F54" s="2">
        <v>1</v>
      </c>
      <c r="G54" s="2">
        <v>1</v>
      </c>
      <c r="H54" s="2" t="s">
        <v>18</v>
      </c>
      <c r="I54" s="2">
        <v>0.45171459997072799</v>
      </c>
      <c r="J54" s="3" t="str">
        <f t="shared" si="0"/>
        <v>inconsistent</v>
      </c>
    </row>
    <row r="55" spans="1:10" hidden="1" x14ac:dyDescent="0.35">
      <c r="A55" s="2" t="s">
        <v>19</v>
      </c>
      <c r="B55" s="2" t="s">
        <v>10</v>
      </c>
      <c r="C55" s="2" t="s">
        <v>59</v>
      </c>
      <c r="D55" s="2" t="s">
        <v>12</v>
      </c>
      <c r="E55" s="2">
        <v>56</v>
      </c>
      <c r="F55" s="2">
        <v>2</v>
      </c>
      <c r="G55" s="2">
        <v>1</v>
      </c>
      <c r="H55" s="2" t="s">
        <v>13</v>
      </c>
      <c r="I55" s="2">
        <v>0.44090589997358598</v>
      </c>
      <c r="J55" s="3" t="str">
        <f t="shared" si="0"/>
        <v>neutral</v>
      </c>
    </row>
    <row r="56" spans="1:10" x14ac:dyDescent="0.35">
      <c r="A56" s="2" t="s">
        <v>26</v>
      </c>
      <c r="B56" s="2" t="s">
        <v>22</v>
      </c>
      <c r="C56" s="2" t="s">
        <v>27</v>
      </c>
      <c r="D56" s="2" t="s">
        <v>17</v>
      </c>
      <c r="E56" s="2">
        <v>57</v>
      </c>
      <c r="F56" s="2">
        <v>3</v>
      </c>
      <c r="G56" s="2">
        <v>1</v>
      </c>
      <c r="H56" s="2" t="s">
        <v>18</v>
      </c>
      <c r="I56" s="2">
        <v>0.90176310000242599</v>
      </c>
      <c r="J56" s="3" t="str">
        <f t="shared" si="0"/>
        <v>consistent</v>
      </c>
    </row>
    <row r="57" spans="1:10" x14ac:dyDescent="0.35">
      <c r="A57" s="2" t="s">
        <v>30</v>
      </c>
      <c r="B57" s="2" t="s">
        <v>22</v>
      </c>
      <c r="C57" s="2" t="s">
        <v>33</v>
      </c>
      <c r="D57" s="2" t="s">
        <v>12</v>
      </c>
      <c r="E57" s="2">
        <v>58</v>
      </c>
      <c r="F57" s="2">
        <v>4</v>
      </c>
      <c r="G57" s="2">
        <v>1</v>
      </c>
      <c r="H57" s="2" t="s">
        <v>13</v>
      </c>
      <c r="I57" s="2">
        <v>0.59397909999825005</v>
      </c>
      <c r="J57" s="3" t="str">
        <f t="shared" si="0"/>
        <v>inconsistent</v>
      </c>
    </row>
    <row r="58" spans="1:10" x14ac:dyDescent="0.35">
      <c r="A58" s="2" t="s">
        <v>14</v>
      </c>
      <c r="B58" s="2" t="s">
        <v>15</v>
      </c>
      <c r="C58" s="2" t="s">
        <v>16</v>
      </c>
      <c r="D58" s="2" t="s">
        <v>17</v>
      </c>
      <c r="E58" s="2">
        <v>59</v>
      </c>
      <c r="F58" s="2">
        <v>5</v>
      </c>
      <c r="G58" s="2">
        <v>1</v>
      </c>
      <c r="H58" s="2" t="s">
        <v>18</v>
      </c>
      <c r="I58" s="2">
        <v>0.60124590003397305</v>
      </c>
      <c r="J58" s="3" t="str">
        <f t="shared" si="0"/>
        <v>inconsistent</v>
      </c>
    </row>
    <row r="59" spans="1:10" x14ac:dyDescent="0.35">
      <c r="A59" s="2" t="s">
        <v>57</v>
      </c>
      <c r="B59" s="2" t="s">
        <v>22</v>
      </c>
      <c r="C59" s="2" t="s">
        <v>53</v>
      </c>
      <c r="D59" s="2" t="s">
        <v>17</v>
      </c>
      <c r="E59" s="2">
        <v>60</v>
      </c>
      <c r="F59" s="2">
        <v>6</v>
      </c>
      <c r="G59" s="2">
        <v>1</v>
      </c>
      <c r="H59" s="2" t="s">
        <v>18</v>
      </c>
      <c r="I59" s="2">
        <v>0.63518310000654299</v>
      </c>
      <c r="J59" s="3" t="str">
        <f t="shared" si="0"/>
        <v>consistent</v>
      </c>
    </row>
    <row r="60" spans="1:10" x14ac:dyDescent="0.35">
      <c r="A60" s="2" t="s">
        <v>34</v>
      </c>
      <c r="B60" s="2" t="s">
        <v>15</v>
      </c>
      <c r="C60" s="2" t="s">
        <v>37</v>
      </c>
      <c r="D60" s="2" t="s">
        <v>17</v>
      </c>
      <c r="E60" s="2">
        <v>61</v>
      </c>
      <c r="F60" s="2">
        <v>7</v>
      </c>
      <c r="G60" s="2">
        <v>1</v>
      </c>
      <c r="H60" s="2" t="s">
        <v>18</v>
      </c>
      <c r="I60" s="2">
        <v>1.31550760002573</v>
      </c>
      <c r="J60" s="3" t="str">
        <f t="shared" si="0"/>
        <v>inconsistent</v>
      </c>
    </row>
    <row r="61" spans="1:10" x14ac:dyDescent="0.35">
      <c r="A61" s="2" t="s">
        <v>25</v>
      </c>
      <c r="B61" s="2" t="s">
        <v>22</v>
      </c>
      <c r="C61" s="2" t="s">
        <v>16</v>
      </c>
      <c r="D61" s="2" t="s">
        <v>17</v>
      </c>
      <c r="E61" s="2">
        <v>62</v>
      </c>
      <c r="F61" s="2">
        <v>8</v>
      </c>
      <c r="G61" s="2">
        <v>1</v>
      </c>
      <c r="H61" s="2" t="s">
        <v>18</v>
      </c>
      <c r="I61" s="2">
        <v>0.666388600016944</v>
      </c>
      <c r="J61" s="3" t="str">
        <f t="shared" si="0"/>
        <v>consistent</v>
      </c>
    </row>
    <row r="62" spans="1:10" x14ac:dyDescent="0.35">
      <c r="A62" s="2" t="s">
        <v>21</v>
      </c>
      <c r="B62" s="2" t="s">
        <v>22</v>
      </c>
      <c r="C62" s="2" t="s">
        <v>59</v>
      </c>
      <c r="D62" s="2" t="s">
        <v>12</v>
      </c>
      <c r="E62" s="2">
        <v>63</v>
      </c>
      <c r="F62" s="2">
        <v>9</v>
      </c>
      <c r="G62" s="2">
        <v>1</v>
      </c>
      <c r="H62" s="2" t="s">
        <v>13</v>
      </c>
      <c r="I62" s="2">
        <v>1.02024719998007</v>
      </c>
      <c r="J62" s="3" t="str">
        <f t="shared" si="0"/>
        <v>inconsistent</v>
      </c>
    </row>
    <row r="63" spans="1:10" x14ac:dyDescent="0.35">
      <c r="A63" s="2" t="s">
        <v>32</v>
      </c>
      <c r="B63" s="2" t="s">
        <v>15</v>
      </c>
      <c r="C63" s="2" t="s">
        <v>33</v>
      </c>
      <c r="D63" s="2" t="s">
        <v>12</v>
      </c>
      <c r="E63" s="2">
        <v>64</v>
      </c>
      <c r="F63" s="2">
        <v>10</v>
      </c>
      <c r="G63" s="2">
        <v>1</v>
      </c>
      <c r="H63" s="2" t="s">
        <v>13</v>
      </c>
      <c r="I63" s="2">
        <v>1.25788980000652</v>
      </c>
      <c r="J63" s="3" t="str">
        <f t="shared" si="0"/>
        <v>consistent</v>
      </c>
    </row>
    <row r="64" spans="1:10" hidden="1" x14ac:dyDescent="0.35">
      <c r="A64" s="2" t="s">
        <v>58</v>
      </c>
      <c r="B64" s="2" t="s">
        <v>10</v>
      </c>
      <c r="C64" s="2" t="s">
        <v>42</v>
      </c>
      <c r="D64" s="2" t="s">
        <v>12</v>
      </c>
      <c r="E64" s="2">
        <v>65</v>
      </c>
      <c r="F64" s="2">
        <v>11</v>
      </c>
      <c r="G64" s="2">
        <v>1</v>
      </c>
      <c r="H64" s="2" t="s">
        <v>13</v>
      </c>
      <c r="I64" s="2">
        <v>0.84349910001037598</v>
      </c>
      <c r="J64" s="3" t="str">
        <f t="shared" si="0"/>
        <v>neutral</v>
      </c>
    </row>
    <row r="65" spans="1:10" hidden="1" x14ac:dyDescent="0.35">
      <c r="A65" s="2" t="s">
        <v>23</v>
      </c>
      <c r="B65" s="2" t="s">
        <v>10</v>
      </c>
      <c r="C65" s="2" t="s">
        <v>16</v>
      </c>
      <c r="D65" s="2" t="s">
        <v>17</v>
      </c>
      <c r="E65" s="2">
        <v>66</v>
      </c>
      <c r="F65" s="2">
        <v>12</v>
      </c>
      <c r="G65" s="2">
        <v>1</v>
      </c>
      <c r="H65" s="2" t="s">
        <v>18</v>
      </c>
      <c r="I65" s="2">
        <v>2.6168188999872601</v>
      </c>
      <c r="J65" s="3" t="str">
        <f t="shared" si="0"/>
        <v>neutral</v>
      </c>
    </row>
    <row r="66" spans="1:10" x14ac:dyDescent="0.35">
      <c r="A66" s="2" t="s">
        <v>30</v>
      </c>
      <c r="B66" s="2" t="s">
        <v>22</v>
      </c>
      <c r="C66" s="2" t="s">
        <v>31</v>
      </c>
      <c r="D66" s="2" t="s">
        <v>17</v>
      </c>
      <c r="E66" s="2">
        <v>67</v>
      </c>
      <c r="F66" s="2">
        <v>13</v>
      </c>
      <c r="G66" s="2">
        <v>1</v>
      </c>
      <c r="H66" s="2" t="s">
        <v>18</v>
      </c>
      <c r="I66" s="2">
        <v>0.94737060001352802</v>
      </c>
      <c r="J66" s="3" t="str">
        <f t="shared" si="0"/>
        <v>consistent</v>
      </c>
    </row>
    <row r="67" spans="1:10" x14ac:dyDescent="0.35">
      <c r="A67" s="2" t="s">
        <v>52</v>
      </c>
      <c r="B67" s="2" t="s">
        <v>15</v>
      </c>
      <c r="C67" s="2" t="s">
        <v>55</v>
      </c>
      <c r="D67" s="2" t="s">
        <v>12</v>
      </c>
      <c r="E67" s="2">
        <v>68</v>
      </c>
      <c r="F67" s="2">
        <v>14</v>
      </c>
      <c r="G67" s="2">
        <v>1</v>
      </c>
      <c r="H67" s="2" t="s">
        <v>13</v>
      </c>
      <c r="I67" s="2">
        <v>0.46319790004054001</v>
      </c>
      <c r="J67" s="3" t="str">
        <f t="shared" si="0"/>
        <v>consistent</v>
      </c>
    </row>
    <row r="68" spans="1:10" x14ac:dyDescent="0.35">
      <c r="A68" s="2" t="s">
        <v>14</v>
      </c>
      <c r="B68" s="2" t="s">
        <v>15</v>
      </c>
      <c r="C68" s="2" t="s">
        <v>24</v>
      </c>
      <c r="D68" s="2" t="s">
        <v>12</v>
      </c>
      <c r="E68" s="2">
        <v>69</v>
      </c>
      <c r="F68" s="2">
        <v>15</v>
      </c>
      <c r="G68" s="2">
        <v>1</v>
      </c>
      <c r="H68" s="2" t="s">
        <v>13</v>
      </c>
      <c r="I68" s="2">
        <v>0.79265489999670502</v>
      </c>
      <c r="J68" s="3" t="str">
        <f t="shared" ref="J68:J103" si="1">IF(OR(AND(B68="masculine",D68="male"), AND(B68="feminine",D68="female")), "consistent",
IF(OR(AND(B68="masculine",D68="female"), AND(B68="feminine",D68="male")), "inconsistent","neutral"))</f>
        <v>consistent</v>
      </c>
    </row>
    <row r="69" spans="1:10" x14ac:dyDescent="0.35">
      <c r="A69" s="2" t="s">
        <v>21</v>
      </c>
      <c r="B69" s="2" t="s">
        <v>22</v>
      </c>
      <c r="C69" s="2" t="s">
        <v>20</v>
      </c>
      <c r="D69" s="2" t="s">
        <v>17</v>
      </c>
      <c r="E69" s="2">
        <v>70</v>
      </c>
      <c r="F69" s="2">
        <v>16</v>
      </c>
      <c r="G69" s="2">
        <v>1</v>
      </c>
      <c r="H69" s="2" t="s">
        <v>18</v>
      </c>
      <c r="I69" s="2">
        <v>0.42997679999098098</v>
      </c>
      <c r="J69" s="3" t="str">
        <f t="shared" si="1"/>
        <v>consistent</v>
      </c>
    </row>
    <row r="70" spans="1:10" x14ac:dyDescent="0.35">
      <c r="A70" s="2" t="s">
        <v>28</v>
      </c>
      <c r="B70" s="2" t="s">
        <v>15</v>
      </c>
      <c r="C70" s="2" t="s">
        <v>29</v>
      </c>
      <c r="D70" s="2" t="s">
        <v>12</v>
      </c>
      <c r="E70" s="2">
        <v>71</v>
      </c>
      <c r="F70" s="2">
        <v>17</v>
      </c>
      <c r="G70" s="2">
        <v>1</v>
      </c>
      <c r="H70" s="2" t="s">
        <v>13</v>
      </c>
      <c r="I70" s="2">
        <v>0.95786299998871904</v>
      </c>
      <c r="J70" s="3" t="str">
        <f t="shared" si="1"/>
        <v>consistent</v>
      </c>
    </row>
    <row r="71" spans="1:10" hidden="1" x14ac:dyDescent="0.35">
      <c r="A71" s="2" t="s">
        <v>45</v>
      </c>
      <c r="B71" s="2" t="s">
        <v>10</v>
      </c>
      <c r="C71" s="2" t="s">
        <v>33</v>
      </c>
      <c r="D71" s="2" t="s">
        <v>12</v>
      </c>
      <c r="E71" s="2">
        <v>72</v>
      </c>
      <c r="F71" s="2">
        <v>18</v>
      </c>
      <c r="G71" s="2">
        <v>1</v>
      </c>
      <c r="H71" s="2" t="s">
        <v>13</v>
      </c>
      <c r="I71" s="2">
        <v>0.65086220001103301</v>
      </c>
      <c r="J71" s="3" t="str">
        <f t="shared" si="1"/>
        <v>neutral</v>
      </c>
    </row>
    <row r="72" spans="1:10" hidden="1" x14ac:dyDescent="0.35">
      <c r="A72" s="2" t="s">
        <v>9</v>
      </c>
      <c r="B72" s="2" t="s">
        <v>10</v>
      </c>
      <c r="C72" s="2" t="s">
        <v>11</v>
      </c>
      <c r="D72" s="2" t="s">
        <v>12</v>
      </c>
      <c r="E72" s="2">
        <v>73</v>
      </c>
      <c r="F72" s="2">
        <v>19</v>
      </c>
      <c r="G72" s="2">
        <v>1</v>
      </c>
      <c r="H72" s="2" t="s">
        <v>13</v>
      </c>
      <c r="I72" s="2">
        <v>0.49879089999012599</v>
      </c>
      <c r="J72" s="3" t="str">
        <f t="shared" si="1"/>
        <v>neutral</v>
      </c>
    </row>
    <row r="73" spans="1:10" hidden="1" x14ac:dyDescent="0.35">
      <c r="A73" s="2" t="s">
        <v>45</v>
      </c>
      <c r="B73" s="2" t="s">
        <v>10</v>
      </c>
      <c r="C73" s="2" t="s">
        <v>31</v>
      </c>
      <c r="D73" s="2" t="s">
        <v>17</v>
      </c>
      <c r="E73" s="2">
        <v>74</v>
      </c>
      <c r="F73" s="2">
        <v>20</v>
      </c>
      <c r="G73" s="2">
        <v>1</v>
      </c>
      <c r="H73" s="2" t="s">
        <v>13</v>
      </c>
      <c r="I73" s="2">
        <v>1.2205775000038499</v>
      </c>
      <c r="J73" s="3" t="str">
        <f t="shared" si="1"/>
        <v>neutral</v>
      </c>
    </row>
    <row r="74" spans="1:10" x14ac:dyDescent="0.35">
      <c r="A74" s="2" t="s">
        <v>47</v>
      </c>
      <c r="B74" s="2" t="s">
        <v>22</v>
      </c>
      <c r="C74" s="2" t="s">
        <v>37</v>
      </c>
      <c r="D74" s="2" t="s">
        <v>17</v>
      </c>
      <c r="E74" s="2">
        <v>75</v>
      </c>
      <c r="F74" s="2">
        <v>21</v>
      </c>
      <c r="G74" s="2">
        <v>1</v>
      </c>
      <c r="H74" s="2" t="s">
        <v>13</v>
      </c>
      <c r="I74" s="2">
        <v>1.8102659999858499</v>
      </c>
      <c r="J74" s="3" t="str">
        <f t="shared" si="1"/>
        <v>consistent</v>
      </c>
    </row>
    <row r="75" spans="1:10" x14ac:dyDescent="0.35">
      <c r="A75" s="2" t="s">
        <v>46</v>
      </c>
      <c r="B75" s="2" t="s">
        <v>15</v>
      </c>
      <c r="C75" s="2" t="s">
        <v>41</v>
      </c>
      <c r="D75" s="2" t="s">
        <v>12</v>
      </c>
      <c r="E75" s="2">
        <v>76</v>
      </c>
      <c r="F75" s="2">
        <v>22</v>
      </c>
      <c r="G75" s="2">
        <v>1</v>
      </c>
      <c r="H75" s="2" t="s">
        <v>13</v>
      </c>
      <c r="I75" s="2">
        <v>0.87391829997068204</v>
      </c>
      <c r="J75" s="3" t="str">
        <f t="shared" si="1"/>
        <v>consistent</v>
      </c>
    </row>
    <row r="76" spans="1:10" x14ac:dyDescent="0.35">
      <c r="A76" s="2" t="s">
        <v>62</v>
      </c>
      <c r="B76" s="2" t="s">
        <v>15</v>
      </c>
      <c r="C76" s="2" t="s">
        <v>42</v>
      </c>
      <c r="D76" s="2" t="s">
        <v>12</v>
      </c>
      <c r="E76" s="2">
        <v>77</v>
      </c>
      <c r="F76" s="2">
        <v>23</v>
      </c>
      <c r="G76" s="2">
        <v>1</v>
      </c>
      <c r="H76" s="2" t="s">
        <v>13</v>
      </c>
      <c r="I76" s="2">
        <v>0.660226700012572</v>
      </c>
      <c r="J76" s="3" t="str">
        <f t="shared" si="1"/>
        <v>consistent</v>
      </c>
    </row>
    <row r="77" spans="1:10" x14ac:dyDescent="0.35">
      <c r="A77" s="2" t="s">
        <v>46</v>
      </c>
      <c r="B77" s="2" t="s">
        <v>15</v>
      </c>
      <c r="C77" s="2" t="s">
        <v>39</v>
      </c>
      <c r="D77" s="2" t="s">
        <v>17</v>
      </c>
      <c r="E77" s="2">
        <v>78</v>
      </c>
      <c r="F77" s="2">
        <v>24</v>
      </c>
      <c r="G77" s="2">
        <v>1</v>
      </c>
      <c r="H77" s="2" t="s">
        <v>18</v>
      </c>
      <c r="I77" s="2">
        <v>0.63835219998145398</v>
      </c>
      <c r="J77" s="3" t="str">
        <f t="shared" si="1"/>
        <v>inconsistent</v>
      </c>
    </row>
    <row r="78" spans="1:10" hidden="1" x14ac:dyDescent="0.35">
      <c r="A78" s="2" t="s">
        <v>51</v>
      </c>
      <c r="B78" s="2" t="s">
        <v>10</v>
      </c>
      <c r="C78" s="2" t="s">
        <v>49</v>
      </c>
      <c r="D78" s="2" t="s">
        <v>12</v>
      </c>
      <c r="E78" s="2">
        <v>79</v>
      </c>
      <c r="F78" s="2">
        <v>25</v>
      </c>
      <c r="G78" s="2">
        <v>1</v>
      </c>
      <c r="H78" s="2" t="s">
        <v>13</v>
      </c>
      <c r="I78" s="2">
        <v>0.59720750001724798</v>
      </c>
      <c r="J78" s="3" t="str">
        <f t="shared" si="1"/>
        <v>neutral</v>
      </c>
    </row>
    <row r="79" spans="1:10" x14ac:dyDescent="0.35">
      <c r="A79" s="2" t="s">
        <v>47</v>
      </c>
      <c r="B79" s="2" t="s">
        <v>22</v>
      </c>
      <c r="C79" s="2" t="s">
        <v>11</v>
      </c>
      <c r="D79" s="2" t="s">
        <v>12</v>
      </c>
      <c r="E79" s="2">
        <v>80</v>
      </c>
      <c r="F79" s="2">
        <v>26</v>
      </c>
      <c r="G79" s="2">
        <v>1</v>
      </c>
      <c r="H79" s="2" t="s">
        <v>13</v>
      </c>
      <c r="I79" s="2">
        <v>0.54343079996760901</v>
      </c>
      <c r="J79" s="3" t="str">
        <f t="shared" si="1"/>
        <v>inconsistent</v>
      </c>
    </row>
    <row r="80" spans="1:10" hidden="1" x14ac:dyDescent="0.35">
      <c r="A80" s="2" t="s">
        <v>51</v>
      </c>
      <c r="B80" s="2" t="s">
        <v>10</v>
      </c>
      <c r="C80" s="2" t="s">
        <v>56</v>
      </c>
      <c r="D80" s="2" t="s">
        <v>17</v>
      </c>
      <c r="E80" s="2">
        <v>81</v>
      </c>
      <c r="F80" s="2">
        <v>27</v>
      </c>
      <c r="G80" s="2">
        <v>1</v>
      </c>
      <c r="H80" s="2" t="s">
        <v>18</v>
      </c>
      <c r="I80" s="2">
        <v>0.48702159995445898</v>
      </c>
      <c r="J80" s="3" t="str">
        <f t="shared" si="1"/>
        <v>neutral</v>
      </c>
    </row>
    <row r="81" spans="1:10" x14ac:dyDescent="0.35">
      <c r="A81" s="2" t="s">
        <v>52</v>
      </c>
      <c r="B81" s="2" t="s">
        <v>15</v>
      </c>
      <c r="C81" s="2" t="s">
        <v>53</v>
      </c>
      <c r="D81" s="2" t="s">
        <v>17</v>
      </c>
      <c r="E81" s="2">
        <v>82</v>
      </c>
      <c r="F81" s="2">
        <v>28</v>
      </c>
      <c r="G81" s="2">
        <v>1</v>
      </c>
      <c r="H81" s="2" t="s">
        <v>18</v>
      </c>
      <c r="I81" s="2">
        <v>0.54008730000350602</v>
      </c>
      <c r="J81" s="3" t="str">
        <f t="shared" si="1"/>
        <v>inconsistent</v>
      </c>
    </row>
    <row r="82" spans="1:10" hidden="1" x14ac:dyDescent="0.35">
      <c r="A82" s="2" t="s">
        <v>54</v>
      </c>
      <c r="B82" s="2" t="s">
        <v>10</v>
      </c>
      <c r="C82" s="2" t="s">
        <v>60</v>
      </c>
      <c r="D82" s="2" t="s">
        <v>17</v>
      </c>
      <c r="E82" s="2">
        <v>83</v>
      </c>
      <c r="F82" s="2">
        <v>29</v>
      </c>
      <c r="G82" s="2">
        <v>1</v>
      </c>
      <c r="H82" s="2" t="s">
        <v>18</v>
      </c>
      <c r="I82" s="2">
        <v>0.78236279997508895</v>
      </c>
      <c r="J82" s="3" t="str">
        <f t="shared" si="1"/>
        <v>neutral</v>
      </c>
    </row>
    <row r="83" spans="1:10" x14ac:dyDescent="0.35">
      <c r="A83" s="2" t="s">
        <v>48</v>
      </c>
      <c r="B83" s="2" t="s">
        <v>15</v>
      </c>
      <c r="C83" s="2" t="s">
        <v>49</v>
      </c>
      <c r="D83" s="2" t="s">
        <v>12</v>
      </c>
      <c r="E83" s="2">
        <v>84</v>
      </c>
      <c r="F83" s="2">
        <v>30</v>
      </c>
      <c r="G83" s="2">
        <v>1</v>
      </c>
      <c r="H83" s="2" t="s">
        <v>13</v>
      </c>
      <c r="I83" s="2">
        <v>0.454063299985136</v>
      </c>
      <c r="J83" s="3" t="str">
        <f t="shared" si="1"/>
        <v>consistent</v>
      </c>
    </row>
    <row r="84" spans="1:10" x14ac:dyDescent="0.35">
      <c r="A84" s="2" t="s">
        <v>43</v>
      </c>
      <c r="B84" s="2" t="s">
        <v>15</v>
      </c>
      <c r="C84" s="2" t="s">
        <v>60</v>
      </c>
      <c r="D84" s="2" t="s">
        <v>17</v>
      </c>
      <c r="E84" s="2">
        <v>85</v>
      </c>
      <c r="F84" s="2">
        <v>31</v>
      </c>
      <c r="G84" s="2">
        <v>1</v>
      </c>
      <c r="H84" s="2" t="s">
        <v>18</v>
      </c>
      <c r="I84" s="2">
        <v>0.66075859998818398</v>
      </c>
      <c r="J84" s="3" t="str">
        <f t="shared" si="1"/>
        <v>inconsistent</v>
      </c>
    </row>
    <row r="85" spans="1:10" x14ac:dyDescent="0.35">
      <c r="A85" s="2" t="s">
        <v>32</v>
      </c>
      <c r="B85" s="2" t="s">
        <v>15</v>
      </c>
      <c r="C85" s="2" t="s">
        <v>31</v>
      </c>
      <c r="D85" s="2" t="s">
        <v>17</v>
      </c>
      <c r="E85" s="2">
        <v>86</v>
      </c>
      <c r="F85" s="2">
        <v>32</v>
      </c>
      <c r="G85" s="2">
        <v>1</v>
      </c>
      <c r="H85" s="2" t="s">
        <v>18</v>
      </c>
      <c r="I85" s="2">
        <v>0.80248979997122605</v>
      </c>
      <c r="J85" s="3" t="str">
        <f t="shared" si="1"/>
        <v>inconsistent</v>
      </c>
    </row>
    <row r="86" spans="1:10" x14ac:dyDescent="0.35">
      <c r="A86" s="2" t="s">
        <v>57</v>
      </c>
      <c r="B86" s="2" t="s">
        <v>22</v>
      </c>
      <c r="C86" s="2" t="s">
        <v>55</v>
      </c>
      <c r="D86" s="2" t="s">
        <v>12</v>
      </c>
      <c r="E86" s="2">
        <v>87</v>
      </c>
      <c r="F86" s="2">
        <v>33</v>
      </c>
      <c r="G86" s="2">
        <v>1</v>
      </c>
      <c r="H86" s="2" t="s">
        <v>13</v>
      </c>
      <c r="I86" s="2">
        <v>0.53975569998146899</v>
      </c>
      <c r="J86" s="3" t="str">
        <f t="shared" si="1"/>
        <v>inconsistent</v>
      </c>
    </row>
    <row r="87" spans="1:10" x14ac:dyDescent="0.35">
      <c r="A87" s="2" t="s">
        <v>28</v>
      </c>
      <c r="B87" s="2" t="s">
        <v>15</v>
      </c>
      <c r="C87" s="2" t="s">
        <v>27</v>
      </c>
      <c r="D87" s="2" t="s">
        <v>17</v>
      </c>
      <c r="E87" s="2">
        <v>89</v>
      </c>
      <c r="F87" s="2">
        <v>35</v>
      </c>
      <c r="G87" s="2">
        <v>1</v>
      </c>
      <c r="H87" s="2" t="s">
        <v>18</v>
      </c>
      <c r="I87" s="2">
        <v>1.30981259996769</v>
      </c>
      <c r="J87" s="3" t="str">
        <f t="shared" si="1"/>
        <v>inconsistent</v>
      </c>
    </row>
    <row r="88" spans="1:10" x14ac:dyDescent="0.35">
      <c r="A88" s="2" t="s">
        <v>50</v>
      </c>
      <c r="B88" s="2" t="s">
        <v>15</v>
      </c>
      <c r="C88" s="2" t="s">
        <v>20</v>
      </c>
      <c r="D88" s="2" t="s">
        <v>17</v>
      </c>
      <c r="E88" s="2">
        <v>91</v>
      </c>
      <c r="F88" s="2">
        <v>37</v>
      </c>
      <c r="G88" s="2">
        <v>1</v>
      </c>
      <c r="H88" s="2" t="s">
        <v>18</v>
      </c>
      <c r="I88" s="2">
        <v>1.0057566000032201</v>
      </c>
      <c r="J88" s="3" t="str">
        <f t="shared" si="1"/>
        <v>inconsistent</v>
      </c>
    </row>
    <row r="89" spans="1:10" x14ac:dyDescent="0.35">
      <c r="A89" s="2" t="s">
        <v>62</v>
      </c>
      <c r="B89" s="2" t="s">
        <v>15</v>
      </c>
      <c r="C89" s="2" t="s">
        <v>36</v>
      </c>
      <c r="D89" s="2" t="s">
        <v>17</v>
      </c>
      <c r="E89" s="2">
        <v>92</v>
      </c>
      <c r="F89" s="2">
        <v>38</v>
      </c>
      <c r="G89" s="2">
        <v>1</v>
      </c>
      <c r="H89" s="2" t="s">
        <v>18</v>
      </c>
      <c r="I89" s="2">
        <v>1.01238119998015</v>
      </c>
      <c r="J89" s="3" t="str">
        <f t="shared" si="1"/>
        <v>inconsistent</v>
      </c>
    </row>
    <row r="90" spans="1:10" hidden="1" x14ac:dyDescent="0.35">
      <c r="A90" s="2" t="s">
        <v>19</v>
      </c>
      <c r="B90" s="2" t="s">
        <v>10</v>
      </c>
      <c r="C90" s="2" t="s">
        <v>20</v>
      </c>
      <c r="D90" s="2" t="s">
        <v>17</v>
      </c>
      <c r="E90" s="2">
        <v>93</v>
      </c>
      <c r="F90" s="2">
        <v>39</v>
      </c>
      <c r="G90" s="2">
        <v>1</v>
      </c>
      <c r="H90" s="2" t="s">
        <v>18</v>
      </c>
      <c r="I90" s="2">
        <v>0.47596630000043599</v>
      </c>
      <c r="J90" s="3" t="str">
        <f t="shared" si="1"/>
        <v>neutral</v>
      </c>
    </row>
    <row r="91" spans="1:10" x14ac:dyDescent="0.35">
      <c r="A91" s="2" t="s">
        <v>48</v>
      </c>
      <c r="B91" s="2" t="s">
        <v>15</v>
      </c>
      <c r="C91" s="2" t="s">
        <v>56</v>
      </c>
      <c r="D91" s="2" t="s">
        <v>17</v>
      </c>
      <c r="E91" s="2">
        <v>94</v>
      </c>
      <c r="F91" s="2">
        <v>40</v>
      </c>
      <c r="G91" s="2">
        <v>1</v>
      </c>
      <c r="H91" s="2" t="s">
        <v>18</v>
      </c>
      <c r="I91" s="2">
        <v>0.47970640001585702</v>
      </c>
      <c r="J91" s="3" t="str">
        <f t="shared" si="1"/>
        <v>inconsistent</v>
      </c>
    </row>
    <row r="92" spans="1:10" hidden="1" x14ac:dyDescent="0.35">
      <c r="A92" s="2" t="s">
        <v>38</v>
      </c>
      <c r="B92" s="2" t="s">
        <v>10</v>
      </c>
      <c r="C92" s="2" t="s">
        <v>41</v>
      </c>
      <c r="D92" s="2" t="s">
        <v>12</v>
      </c>
      <c r="E92" s="2">
        <v>95</v>
      </c>
      <c r="F92" s="2">
        <v>41</v>
      </c>
      <c r="G92" s="2">
        <v>1</v>
      </c>
      <c r="H92" s="2" t="s">
        <v>13</v>
      </c>
      <c r="I92" s="2">
        <v>0.67841990001033903</v>
      </c>
      <c r="J92" s="3" t="str">
        <f t="shared" si="1"/>
        <v>neutral</v>
      </c>
    </row>
    <row r="93" spans="1:10" x14ac:dyDescent="0.35">
      <c r="A93" s="2" t="s">
        <v>40</v>
      </c>
      <c r="B93" s="2" t="s">
        <v>22</v>
      </c>
      <c r="C93" s="2" t="s">
        <v>39</v>
      </c>
      <c r="D93" s="2" t="s">
        <v>17</v>
      </c>
      <c r="E93" s="2">
        <v>97</v>
      </c>
      <c r="F93" s="2">
        <v>43</v>
      </c>
      <c r="G93" s="2">
        <v>1</v>
      </c>
      <c r="H93" s="2" t="s">
        <v>18</v>
      </c>
      <c r="I93" s="2">
        <v>0.69783660001121395</v>
      </c>
      <c r="J93" s="3" t="str">
        <f t="shared" si="1"/>
        <v>consistent</v>
      </c>
    </row>
    <row r="94" spans="1:10" x14ac:dyDescent="0.35">
      <c r="A94" s="2" t="s">
        <v>61</v>
      </c>
      <c r="B94" s="2" t="s">
        <v>22</v>
      </c>
      <c r="C94" s="2" t="s">
        <v>44</v>
      </c>
      <c r="D94" s="2" t="s">
        <v>12</v>
      </c>
      <c r="E94" s="2">
        <v>98</v>
      </c>
      <c r="F94" s="2">
        <v>44</v>
      </c>
      <c r="G94" s="2">
        <v>1</v>
      </c>
      <c r="H94" s="2" t="s">
        <v>13</v>
      </c>
      <c r="I94" s="2">
        <v>0.689510800002608</v>
      </c>
      <c r="J94" s="3" t="str">
        <f t="shared" si="1"/>
        <v>inconsistent</v>
      </c>
    </row>
    <row r="95" spans="1:10" hidden="1" x14ac:dyDescent="0.35">
      <c r="A95" s="2" t="s">
        <v>58</v>
      </c>
      <c r="B95" s="2" t="s">
        <v>10</v>
      </c>
      <c r="C95" s="2" t="s">
        <v>36</v>
      </c>
      <c r="D95" s="2" t="s">
        <v>17</v>
      </c>
      <c r="E95" s="2">
        <v>99</v>
      </c>
      <c r="F95" s="2">
        <v>45</v>
      </c>
      <c r="G95" s="2">
        <v>1</v>
      </c>
      <c r="H95" s="2" t="s">
        <v>18</v>
      </c>
      <c r="I95" s="2">
        <v>0.87453620001906496</v>
      </c>
      <c r="J95" s="3" t="str">
        <f t="shared" si="1"/>
        <v>neutral</v>
      </c>
    </row>
    <row r="96" spans="1:10" x14ac:dyDescent="0.35">
      <c r="A96" s="2" t="s">
        <v>35</v>
      </c>
      <c r="B96" s="2" t="s">
        <v>22</v>
      </c>
      <c r="C96" s="2" t="s">
        <v>36</v>
      </c>
      <c r="D96" s="2" t="s">
        <v>17</v>
      </c>
      <c r="E96" s="2">
        <v>100</v>
      </c>
      <c r="F96" s="2">
        <v>46</v>
      </c>
      <c r="G96" s="2">
        <v>1</v>
      </c>
      <c r="H96" s="2" t="s">
        <v>18</v>
      </c>
      <c r="I96" s="2">
        <v>0.54478970001218796</v>
      </c>
      <c r="J96" s="3" t="str">
        <f t="shared" si="1"/>
        <v>consistent</v>
      </c>
    </row>
    <row r="97" spans="1:10" hidden="1" x14ac:dyDescent="0.35">
      <c r="A97" s="2" t="s">
        <v>9</v>
      </c>
      <c r="B97" s="2" t="s">
        <v>10</v>
      </c>
      <c r="C97" s="2" t="s">
        <v>37</v>
      </c>
      <c r="D97" s="2" t="s">
        <v>17</v>
      </c>
      <c r="E97" s="2">
        <v>101</v>
      </c>
      <c r="F97" s="2">
        <v>47</v>
      </c>
      <c r="G97" s="2">
        <v>1</v>
      </c>
      <c r="H97" s="2" t="s">
        <v>18</v>
      </c>
      <c r="I97" s="2">
        <v>0.54807780002010897</v>
      </c>
      <c r="J97" s="3" t="str">
        <f t="shared" si="1"/>
        <v>neutral</v>
      </c>
    </row>
    <row r="98" spans="1:10" x14ac:dyDescent="0.35">
      <c r="A98" s="2" t="s">
        <v>26</v>
      </c>
      <c r="B98" s="2" t="s">
        <v>22</v>
      </c>
      <c r="C98" s="2" t="s">
        <v>29</v>
      </c>
      <c r="D98" s="2" t="s">
        <v>12</v>
      </c>
      <c r="E98" s="2">
        <v>102</v>
      </c>
      <c r="F98" s="2">
        <v>48</v>
      </c>
      <c r="G98" s="2">
        <v>1</v>
      </c>
      <c r="H98" s="2" t="s">
        <v>13</v>
      </c>
      <c r="I98" s="2">
        <v>0.80634469998767599</v>
      </c>
      <c r="J98" s="3" t="str">
        <f t="shared" si="1"/>
        <v>inconsistent</v>
      </c>
    </row>
    <row r="99" spans="1:10" x14ac:dyDescent="0.35">
      <c r="A99" s="2" t="s">
        <v>34</v>
      </c>
      <c r="B99" s="2" t="s">
        <v>15</v>
      </c>
      <c r="C99" s="2" t="s">
        <v>11</v>
      </c>
      <c r="D99" s="2" t="s">
        <v>12</v>
      </c>
      <c r="E99" s="2">
        <v>103</v>
      </c>
      <c r="F99" s="2">
        <v>49</v>
      </c>
      <c r="G99" s="2">
        <v>1</v>
      </c>
      <c r="H99" s="2" t="s">
        <v>13</v>
      </c>
      <c r="I99" s="2">
        <v>1.0296562999719701</v>
      </c>
      <c r="J99" s="3" t="str">
        <f t="shared" si="1"/>
        <v>consistent</v>
      </c>
    </row>
    <row r="100" spans="1:10" x14ac:dyDescent="0.35">
      <c r="A100" s="2" t="s">
        <v>25</v>
      </c>
      <c r="B100" s="2" t="s">
        <v>22</v>
      </c>
      <c r="C100" s="2" t="s">
        <v>24</v>
      </c>
      <c r="D100" s="2" t="s">
        <v>12</v>
      </c>
      <c r="E100" s="2">
        <v>104</v>
      </c>
      <c r="F100" s="2">
        <v>50</v>
      </c>
      <c r="G100" s="2">
        <v>1</v>
      </c>
      <c r="H100" s="2" t="s">
        <v>13</v>
      </c>
      <c r="I100" s="2">
        <v>4.3003636000212202</v>
      </c>
      <c r="J100" s="3" t="str">
        <f t="shared" si="1"/>
        <v>inconsistent</v>
      </c>
    </row>
    <row r="101" spans="1:10" x14ac:dyDescent="0.35">
      <c r="A101" s="2" t="s">
        <v>35</v>
      </c>
      <c r="B101" s="2" t="s">
        <v>22</v>
      </c>
      <c r="C101" s="2" t="s">
        <v>42</v>
      </c>
      <c r="D101" s="2" t="s">
        <v>12</v>
      </c>
      <c r="E101" s="2">
        <v>105</v>
      </c>
      <c r="F101" s="2">
        <v>51</v>
      </c>
      <c r="G101" s="2">
        <v>1</v>
      </c>
      <c r="H101" s="2" t="s">
        <v>13</v>
      </c>
      <c r="I101" s="2">
        <v>0.52776660001836695</v>
      </c>
      <c r="J101" s="3" t="str">
        <f t="shared" si="1"/>
        <v>inconsistent</v>
      </c>
    </row>
    <row r="102" spans="1:10" x14ac:dyDescent="0.35">
      <c r="A102" s="2" t="s">
        <v>50</v>
      </c>
      <c r="B102" s="2" t="s">
        <v>15</v>
      </c>
      <c r="C102" s="2" t="s">
        <v>59</v>
      </c>
      <c r="D102" s="2" t="s">
        <v>12</v>
      </c>
      <c r="E102" s="2">
        <v>106</v>
      </c>
      <c r="F102" s="2">
        <v>52</v>
      </c>
      <c r="G102" s="2">
        <v>1</v>
      </c>
      <c r="H102" s="2" t="s">
        <v>13</v>
      </c>
      <c r="I102" s="2">
        <v>0.51259749999735504</v>
      </c>
      <c r="J102" s="3" t="str">
        <f t="shared" si="1"/>
        <v>consistent</v>
      </c>
    </row>
    <row r="103" spans="1:10" hidden="1" x14ac:dyDescent="0.35">
      <c r="A103" s="2" t="s">
        <v>23</v>
      </c>
      <c r="B103" s="2" t="s">
        <v>10</v>
      </c>
      <c r="C103" s="2" t="s">
        <v>24</v>
      </c>
      <c r="D103" s="2" t="s">
        <v>12</v>
      </c>
      <c r="E103" s="2">
        <v>107</v>
      </c>
      <c r="F103" s="2">
        <v>53</v>
      </c>
      <c r="G103" s="2">
        <v>1</v>
      </c>
      <c r="H103" s="2" t="s">
        <v>13</v>
      </c>
      <c r="I103" s="2">
        <v>0.55408309999620498</v>
      </c>
      <c r="J103" s="3" t="str">
        <f t="shared" si="1"/>
        <v>neutral</v>
      </c>
    </row>
  </sheetData>
  <autoFilter ref="J1:J103" xr:uid="{EA48C5C7-B658-4428-B765-749E85E94231}">
    <filterColumn colId="0">
      <filters blank="1">
        <filter val="consistent"/>
        <filter val="inconsisten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C427-E8AB-415E-854A-E6A5DB8DB45D}">
  <dimension ref="A1:G23"/>
  <sheetViews>
    <sheetView workbookViewId="0">
      <selection activeCell="A18" sqref="A18:G23"/>
    </sheetView>
  </sheetViews>
  <sheetFormatPr defaultRowHeight="14.5" x14ac:dyDescent="0.35"/>
  <sheetData>
    <row r="1" spans="1:5" x14ac:dyDescent="0.35">
      <c r="A1" t="s">
        <v>83</v>
      </c>
    </row>
    <row r="2" spans="1:5" ht="15" thickBot="1" x14ac:dyDescent="0.4"/>
    <row r="3" spans="1:5" x14ac:dyDescent="0.35">
      <c r="A3" s="12" t="s">
        <v>84</v>
      </c>
      <c r="B3" s="12" t="s">
        <v>85</v>
      </c>
      <c r="C3" s="12" t="s">
        <v>86</v>
      </c>
      <c r="D3" s="12" t="s">
        <v>87</v>
      </c>
      <c r="E3" s="12" t="s">
        <v>88</v>
      </c>
    </row>
    <row r="4" spans="1:5" x14ac:dyDescent="0.35">
      <c r="A4" t="s">
        <v>89</v>
      </c>
      <c r="B4">
        <v>4</v>
      </c>
      <c r="C4">
        <v>2.9518269784241387</v>
      </c>
      <c r="D4">
        <v>0.73795674460603466</v>
      </c>
      <c r="E4">
        <v>4.9546928082081276E-2</v>
      </c>
    </row>
    <row r="5" spans="1:5" x14ac:dyDescent="0.35">
      <c r="A5" t="s">
        <v>90</v>
      </c>
      <c r="B5">
        <v>4</v>
      </c>
      <c r="C5">
        <v>2.2618428644290844</v>
      </c>
      <c r="D5">
        <v>0.56546071610727111</v>
      </c>
      <c r="E5">
        <v>1.499563461062647E-3</v>
      </c>
    </row>
    <row r="6" spans="1:5" x14ac:dyDescent="0.35">
      <c r="A6" t="s">
        <v>91</v>
      </c>
      <c r="B6">
        <v>4</v>
      </c>
      <c r="C6">
        <v>2.6742748210840048</v>
      </c>
      <c r="D6">
        <v>0.66856870527100121</v>
      </c>
      <c r="E6">
        <v>5.3552280966196611E-3</v>
      </c>
    </row>
    <row r="7" spans="1:5" x14ac:dyDescent="0.35">
      <c r="A7" t="s">
        <v>92</v>
      </c>
      <c r="B7">
        <v>4</v>
      </c>
      <c r="C7">
        <v>2.7439131966515493</v>
      </c>
      <c r="D7">
        <v>0.68597829916288733</v>
      </c>
      <c r="E7">
        <v>7.0867043554418974E-3</v>
      </c>
    </row>
    <row r="8" spans="1:5" x14ac:dyDescent="0.35">
      <c r="A8" t="s">
        <v>93</v>
      </c>
      <c r="B8">
        <v>4</v>
      </c>
      <c r="C8">
        <v>2.6206039792482927</v>
      </c>
      <c r="D8">
        <v>0.65515099481207317</v>
      </c>
      <c r="E8">
        <v>6.4517661434740541E-3</v>
      </c>
    </row>
    <row r="9" spans="1:5" x14ac:dyDescent="0.35">
      <c r="A9" t="s">
        <v>94</v>
      </c>
      <c r="B9">
        <v>4</v>
      </c>
      <c r="C9">
        <v>3.0301454634502574</v>
      </c>
      <c r="D9">
        <v>0.75753636586256434</v>
      </c>
      <c r="E9">
        <v>7.9395326336340055E-3</v>
      </c>
    </row>
    <row r="11" spans="1:5" x14ac:dyDescent="0.35">
      <c r="A11" t="s">
        <v>95</v>
      </c>
      <c r="B11">
        <v>6</v>
      </c>
      <c r="C11">
        <v>3.5406148441012113</v>
      </c>
      <c r="D11">
        <v>0.59010247401686855</v>
      </c>
      <c r="E11">
        <v>2.5226313349886054E-3</v>
      </c>
    </row>
    <row r="12" spans="1:5" x14ac:dyDescent="0.35">
      <c r="A12" t="s">
        <v>96</v>
      </c>
      <c r="B12">
        <v>6</v>
      </c>
      <c r="C12">
        <v>3.7582756597411593</v>
      </c>
      <c r="D12">
        <v>0.62637927662352655</v>
      </c>
      <c r="E12">
        <v>4.331528523824413E-3</v>
      </c>
    </row>
    <row r="13" spans="1:5" x14ac:dyDescent="0.35">
      <c r="A13" t="s">
        <v>97</v>
      </c>
      <c r="B13">
        <v>6</v>
      </c>
      <c r="C13">
        <v>4.6443154769504149</v>
      </c>
      <c r="D13">
        <v>0.77405257949173578</v>
      </c>
      <c r="E13">
        <v>2.3052246065364646E-2</v>
      </c>
    </row>
    <row r="14" spans="1:5" ht="15" thickBot="1" x14ac:dyDescent="0.4">
      <c r="A14" s="11" t="s">
        <v>98</v>
      </c>
      <c r="B14" s="11">
        <v>6</v>
      </c>
      <c r="C14" s="11">
        <v>4.3394013224945418</v>
      </c>
      <c r="D14" s="11">
        <v>0.72323355374909026</v>
      </c>
      <c r="E14" s="11">
        <v>9.4345036606987339E-3</v>
      </c>
    </row>
    <row r="17" spans="1:7" x14ac:dyDescent="0.35">
      <c r="A17" t="s">
        <v>99</v>
      </c>
    </row>
    <row r="18" spans="1:7" x14ac:dyDescent="0.3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</row>
    <row r="19" spans="1:7" x14ac:dyDescent="0.35">
      <c r="A19" t="s">
        <v>107</v>
      </c>
      <c r="B19">
        <v>9.3037770893237087E-2</v>
      </c>
      <c r="C19">
        <v>5</v>
      </c>
      <c r="D19">
        <v>1.8607554178647418E-2</v>
      </c>
      <c r="E19">
        <v>2.6924085099689798</v>
      </c>
      <c r="F19">
        <v>6.2635545678437266E-2</v>
      </c>
      <c r="G19">
        <v>2.9012945362361564</v>
      </c>
    </row>
    <row r="20" spans="1:7" x14ac:dyDescent="0.35">
      <c r="A20" t="s">
        <v>108</v>
      </c>
      <c r="B20">
        <v>0.12997239128579602</v>
      </c>
      <c r="C20">
        <v>3</v>
      </c>
      <c r="D20">
        <v>4.3324130428598673E-2</v>
      </c>
      <c r="E20">
        <v>6.2687581792355749</v>
      </c>
      <c r="F20">
        <v>5.6991966404758565E-3</v>
      </c>
      <c r="G20">
        <v>3.2873821046365093</v>
      </c>
    </row>
    <row r="21" spans="1:7" x14ac:dyDescent="0.35">
      <c r="A21" t="s">
        <v>109</v>
      </c>
      <c r="B21">
        <v>0.10366677703114488</v>
      </c>
      <c r="C21">
        <v>15</v>
      </c>
      <c r="D21">
        <v>6.9111184687429923E-3</v>
      </c>
    </row>
    <row r="23" spans="1:7" x14ac:dyDescent="0.35">
      <c r="A23" t="s">
        <v>110</v>
      </c>
      <c r="B23">
        <v>0.32667693921017799</v>
      </c>
      <c r="C2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C7CE-599F-4F20-9C18-E6EBE48C6C88}">
  <dimension ref="A1:L40"/>
  <sheetViews>
    <sheetView tabSelected="1" zoomScale="106" workbookViewId="0">
      <selection activeCell="E18" sqref="E18"/>
    </sheetView>
  </sheetViews>
  <sheetFormatPr defaultRowHeight="14.5" x14ac:dyDescent="0.35"/>
  <cols>
    <col min="1" max="1" width="13.54296875" customWidth="1"/>
    <col min="2" max="2" width="16.36328125" customWidth="1"/>
    <col min="3" max="3" width="19" customWidth="1"/>
    <col min="4" max="4" width="18.90625" customWidth="1"/>
    <col min="5" max="5" width="17.26953125" customWidth="1"/>
    <col min="6" max="6" width="19.08984375" customWidth="1"/>
    <col min="7" max="7" width="12.36328125" customWidth="1"/>
    <col min="8" max="8" width="14.26953125" customWidth="1"/>
    <col min="9" max="9" width="20.26953125" customWidth="1"/>
    <col min="10" max="10" width="18.81640625" customWidth="1"/>
  </cols>
  <sheetData>
    <row r="1" spans="1:10" x14ac:dyDescent="0.35">
      <c r="A1" s="5" t="s">
        <v>63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10" x14ac:dyDescent="0.35">
      <c r="A2" s="5">
        <v>1</v>
      </c>
      <c r="B2" s="2">
        <v>0.56942190000214954</v>
      </c>
      <c r="C2" s="2">
        <v>0.61901031000161255</v>
      </c>
      <c r="D2" s="2">
        <v>1.061649868421801</v>
      </c>
      <c r="E2" s="2">
        <v>0.70174489999857581</v>
      </c>
    </row>
    <row r="3" spans="1:10" x14ac:dyDescent="0.35">
      <c r="A3" s="5">
        <v>2</v>
      </c>
      <c r="B3" s="2">
        <v>0.54736814998775785</v>
      </c>
      <c r="C3" s="2">
        <v>0.52042525999131573</v>
      </c>
      <c r="D3" s="2">
        <v>0.60570181000512013</v>
      </c>
      <c r="E3" s="2">
        <v>0.58834764444489074</v>
      </c>
    </row>
    <row r="4" spans="1:10" x14ac:dyDescent="0.35">
      <c r="A4" s="5">
        <v>3</v>
      </c>
      <c r="B4" s="2">
        <v>0.56389631111394645</v>
      </c>
      <c r="C4" s="2">
        <v>0.6914902789346673</v>
      </c>
      <c r="D4" s="2">
        <v>0.73436777221569172</v>
      </c>
      <c r="E4" s="2">
        <v>0.68452045881969981</v>
      </c>
    </row>
    <row r="5" spans="1:10" x14ac:dyDescent="0.35">
      <c r="A5" s="5">
        <v>4</v>
      </c>
      <c r="B5" s="2">
        <v>0.60752354999486746</v>
      </c>
      <c r="C5" s="2">
        <v>0.61944499500677885</v>
      </c>
      <c r="D5" s="2">
        <v>0.74932035789396023</v>
      </c>
      <c r="E5" s="2">
        <v>0.76762429375594254</v>
      </c>
    </row>
    <row r="6" spans="1:10" x14ac:dyDescent="0.35">
      <c r="A6" s="5">
        <v>5</v>
      </c>
      <c r="B6" s="2">
        <v>0.56805363888593563</v>
      </c>
      <c r="C6" s="2">
        <v>0.60615593685743985</v>
      </c>
      <c r="D6" s="2">
        <v>0.73055453683972593</v>
      </c>
      <c r="E6" s="2">
        <v>0.71583986666519128</v>
      </c>
    </row>
    <row r="7" spans="1:10" x14ac:dyDescent="0.35">
      <c r="A7" s="5">
        <v>6</v>
      </c>
      <c r="B7" s="2">
        <v>0.68435129411655449</v>
      </c>
      <c r="C7" s="2">
        <v>0.70174887894934523</v>
      </c>
      <c r="D7" s="2">
        <v>0.7627211315741157</v>
      </c>
      <c r="E7" s="2">
        <v>0.88132415881024195</v>
      </c>
    </row>
    <row r="8" spans="1:10" x14ac:dyDescent="0.35">
      <c r="A8" s="7"/>
    </row>
    <row r="9" spans="1:10" x14ac:dyDescent="0.35">
      <c r="A9" s="10" t="s">
        <v>80</v>
      </c>
      <c r="B9" s="2">
        <f>AVERAGE(B2:B7)</f>
        <v>0.59010247401686855</v>
      </c>
      <c r="C9" s="2">
        <f t="shared" ref="C9:E9" si="0">AVERAGE(C2:C7)</f>
        <v>0.62637927662352655</v>
      </c>
      <c r="D9" s="2">
        <f t="shared" si="0"/>
        <v>0.77405257949173578</v>
      </c>
      <c r="E9" s="2">
        <f t="shared" si="0"/>
        <v>0.72323355374909026</v>
      </c>
    </row>
    <row r="10" spans="1:10" x14ac:dyDescent="0.35">
      <c r="A10" s="10" t="s">
        <v>81</v>
      </c>
      <c r="B10" s="2">
        <f>_xlfn.STDEV.S(B2:B7)</f>
        <v>5.022580347778028E-2</v>
      </c>
      <c r="C10" s="2">
        <f t="shared" ref="C10:E10" si="1">_xlfn.STDEV.S(C2:C7)</f>
        <v>6.5814348920462729E-2</v>
      </c>
      <c r="D10" s="2">
        <f t="shared" si="1"/>
        <v>0.15182966134904158</v>
      </c>
      <c r="E10" s="2">
        <f t="shared" si="1"/>
        <v>9.713137320505015E-2</v>
      </c>
    </row>
    <row r="11" spans="1:10" x14ac:dyDescent="0.35">
      <c r="A11" s="10" t="s">
        <v>82</v>
      </c>
      <c r="B11" s="2">
        <f>(B10/SQRT(6))</f>
        <v>2.0504598406977746E-2</v>
      </c>
      <c r="C11" s="2">
        <f t="shared" ref="C11:E11" si="2">(C10/SQRT(6))</f>
        <v>2.68685954347711E-2</v>
      </c>
      <c r="D11" s="2">
        <f>(D10/SQRT(6))</f>
        <v>6.1984199687453487E-2</v>
      </c>
      <c r="E11" s="2">
        <f t="shared" si="2"/>
        <v>3.9653717061369199E-2</v>
      </c>
    </row>
    <row r="14" spans="1:10" x14ac:dyDescent="0.35">
      <c r="F14" t="s">
        <v>83</v>
      </c>
    </row>
    <row r="15" spans="1:10" ht="15" thickBot="1" x14ac:dyDescent="0.4"/>
    <row r="16" spans="1:10" x14ac:dyDescent="0.35">
      <c r="F16" s="12" t="s">
        <v>84</v>
      </c>
      <c r="G16" s="12" t="s">
        <v>85</v>
      </c>
      <c r="H16" s="12" t="s">
        <v>86</v>
      </c>
      <c r="I16" s="12" t="s">
        <v>87</v>
      </c>
      <c r="J16" s="12" t="s">
        <v>88</v>
      </c>
    </row>
    <row r="17" spans="6:12" x14ac:dyDescent="0.35">
      <c r="F17">
        <v>1</v>
      </c>
      <c r="G17">
        <v>4</v>
      </c>
      <c r="H17">
        <v>2.9518269784241387</v>
      </c>
      <c r="I17">
        <v>0.73795674460603466</v>
      </c>
      <c r="J17">
        <v>4.9546928082081276E-2</v>
      </c>
    </row>
    <row r="18" spans="6:12" x14ac:dyDescent="0.35">
      <c r="F18">
        <v>2</v>
      </c>
      <c r="G18">
        <v>4</v>
      </c>
      <c r="H18">
        <v>2.2618428644290844</v>
      </c>
      <c r="I18">
        <v>0.56546071610727111</v>
      </c>
      <c r="J18">
        <v>1.499563461062647E-3</v>
      </c>
    </row>
    <row r="19" spans="6:12" x14ac:dyDescent="0.35">
      <c r="F19">
        <v>3</v>
      </c>
      <c r="G19">
        <v>4</v>
      </c>
      <c r="H19">
        <v>2.6742748210840048</v>
      </c>
      <c r="I19">
        <v>0.66856870527100121</v>
      </c>
      <c r="J19">
        <v>5.3552280966196611E-3</v>
      </c>
    </row>
    <row r="20" spans="6:12" x14ac:dyDescent="0.35">
      <c r="F20">
        <v>4</v>
      </c>
      <c r="G20">
        <v>4</v>
      </c>
      <c r="H20">
        <v>2.7439131966515493</v>
      </c>
      <c r="I20">
        <v>0.68597829916288733</v>
      </c>
      <c r="J20">
        <v>7.0867043554418974E-3</v>
      </c>
    </row>
    <row r="21" spans="6:12" x14ac:dyDescent="0.35">
      <c r="F21">
        <v>5</v>
      </c>
      <c r="G21">
        <v>4</v>
      </c>
      <c r="H21">
        <v>2.6206039792482927</v>
      </c>
      <c r="I21">
        <v>0.65515099481207317</v>
      </c>
      <c r="J21">
        <v>6.4517661434740541E-3</v>
      </c>
    </row>
    <row r="22" spans="6:12" x14ac:dyDescent="0.35">
      <c r="F22">
        <v>6</v>
      </c>
      <c r="G22">
        <v>4</v>
      </c>
      <c r="H22">
        <v>3.0301454634502574</v>
      </c>
      <c r="I22">
        <v>0.75753636586256434</v>
      </c>
      <c r="J22">
        <v>7.9395326336340055E-3</v>
      </c>
    </row>
    <row r="24" spans="6:12" x14ac:dyDescent="0.35">
      <c r="F24" t="s">
        <v>64</v>
      </c>
      <c r="G24">
        <v>6</v>
      </c>
      <c r="H24">
        <v>3.5406148441012113</v>
      </c>
      <c r="I24">
        <v>0.59010247401686855</v>
      </c>
      <c r="J24">
        <v>2.5226313349886054E-3</v>
      </c>
    </row>
    <row r="25" spans="6:12" x14ac:dyDescent="0.35">
      <c r="F25" t="s">
        <v>65</v>
      </c>
      <c r="G25">
        <v>6</v>
      </c>
      <c r="H25">
        <v>3.7582756597411593</v>
      </c>
      <c r="I25">
        <v>0.62637927662352655</v>
      </c>
      <c r="J25">
        <v>4.331528523824413E-3</v>
      </c>
    </row>
    <row r="26" spans="6:12" x14ac:dyDescent="0.35">
      <c r="F26" t="s">
        <v>66</v>
      </c>
      <c r="G26">
        <v>6</v>
      </c>
      <c r="H26">
        <v>4.6443154769504149</v>
      </c>
      <c r="I26">
        <v>0.77405257949173578</v>
      </c>
      <c r="J26">
        <v>2.3052246065364646E-2</v>
      </c>
    </row>
    <row r="27" spans="6:12" ht="15" thickBot="1" x14ac:dyDescent="0.4">
      <c r="F27" s="11" t="s">
        <v>67</v>
      </c>
      <c r="G27" s="11">
        <v>6</v>
      </c>
      <c r="H27" s="11">
        <v>4.3394013224945418</v>
      </c>
      <c r="I27" s="11">
        <v>0.72323355374909026</v>
      </c>
      <c r="J27" s="11">
        <v>9.4345036606987339E-3</v>
      </c>
    </row>
    <row r="30" spans="6:12" ht="15" thickBot="1" x14ac:dyDescent="0.4">
      <c r="F30" t="s">
        <v>99</v>
      </c>
    </row>
    <row r="31" spans="6:12" x14ac:dyDescent="0.35">
      <c r="F31" s="12" t="s">
        <v>100</v>
      </c>
      <c r="G31" s="12" t="s">
        <v>101</v>
      </c>
      <c r="H31" s="12" t="s">
        <v>102</v>
      </c>
      <c r="I31" s="12" t="s">
        <v>103</v>
      </c>
      <c r="J31" s="12" t="s">
        <v>104</v>
      </c>
      <c r="K31" s="12" t="s">
        <v>105</v>
      </c>
      <c r="L31" s="12" t="s">
        <v>106</v>
      </c>
    </row>
    <row r="32" spans="6:12" x14ac:dyDescent="0.35">
      <c r="F32" t="s">
        <v>107</v>
      </c>
      <c r="G32">
        <v>9.3037770893237087E-2</v>
      </c>
      <c r="H32">
        <v>5</v>
      </c>
      <c r="I32">
        <v>1.8607554178647418E-2</v>
      </c>
      <c r="J32">
        <v>2.6924085099689798</v>
      </c>
      <c r="K32">
        <v>6.2635545678437266E-2</v>
      </c>
      <c r="L32">
        <v>2.9012945362361564</v>
      </c>
    </row>
    <row r="33" spans="2:12" x14ac:dyDescent="0.35">
      <c r="F33" t="s">
        <v>108</v>
      </c>
      <c r="G33">
        <v>0.12997239128579602</v>
      </c>
      <c r="H33">
        <v>3</v>
      </c>
      <c r="I33">
        <v>4.3324130428598673E-2</v>
      </c>
      <c r="J33">
        <v>6.2687581792355749</v>
      </c>
      <c r="K33">
        <v>5.6991966404758565E-3</v>
      </c>
      <c r="L33">
        <v>3.2873821046365093</v>
      </c>
    </row>
    <row r="34" spans="2:12" x14ac:dyDescent="0.35">
      <c r="F34" t="s">
        <v>109</v>
      </c>
      <c r="G34">
        <v>0.10366677703114488</v>
      </c>
      <c r="H34">
        <v>15</v>
      </c>
      <c r="I34">
        <v>6.9111184687429923E-3</v>
      </c>
    </row>
    <row r="36" spans="2:12" ht="15" thickBot="1" x14ac:dyDescent="0.4">
      <c r="F36" s="11" t="s">
        <v>110</v>
      </c>
      <c r="G36" s="11">
        <v>0.32667693921017799</v>
      </c>
      <c r="H36" s="11">
        <v>23</v>
      </c>
      <c r="I36" s="11"/>
      <c r="J36" s="11"/>
      <c r="K36" s="11"/>
      <c r="L36" s="11"/>
    </row>
    <row r="38" spans="2:12" x14ac:dyDescent="0.35">
      <c r="B38" s="2"/>
      <c r="C38" s="2" t="s">
        <v>17</v>
      </c>
      <c r="D38" s="2" t="s">
        <v>12</v>
      </c>
    </row>
    <row r="39" spans="2:12" x14ac:dyDescent="0.35">
      <c r="B39" s="2" t="s">
        <v>111</v>
      </c>
      <c r="C39" s="2">
        <v>0.59010247401686855</v>
      </c>
      <c r="D39" s="2">
        <v>0.62637927662352655</v>
      </c>
    </row>
    <row r="40" spans="2:12" x14ac:dyDescent="0.35">
      <c r="B40" s="2" t="s">
        <v>112</v>
      </c>
      <c r="C40" s="2">
        <v>0.77405257949173578</v>
      </c>
      <c r="D40" s="2">
        <v>0.72323355374909026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Subject_01</vt:lpstr>
      <vt:lpstr>Subject_02</vt:lpstr>
      <vt:lpstr>Subject_03</vt:lpstr>
      <vt:lpstr>Subject_04</vt:lpstr>
      <vt:lpstr>Subject_05</vt:lpstr>
      <vt:lpstr>Subject_06</vt:lpstr>
      <vt:lpstr>Sheet7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Tewari</dc:creator>
  <cp:lastModifiedBy>Nupur Tewari</cp:lastModifiedBy>
  <dcterms:created xsi:type="dcterms:W3CDTF">2025-11-23T06:38:52Z</dcterms:created>
  <dcterms:modified xsi:type="dcterms:W3CDTF">2025-11-24T07:29:49Z</dcterms:modified>
</cp:coreProperties>
</file>